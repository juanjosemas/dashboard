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ertificaciones" sheetId="2" state="visible" r:id="rId2"/>
    <sheet xmlns:r="http://schemas.openxmlformats.org/officeDocument/2006/relationships" name="Gastos Generales" sheetId="3" state="visible" r:id="rId3"/>
    <sheet xmlns:r="http://schemas.openxmlformats.org/officeDocument/2006/relationships" name="Vehiculos" sheetId="4" state="visible" r:id="rId4"/>
    <sheet xmlns:r="http://schemas.openxmlformats.org/officeDocument/2006/relationships" name="Mano de Obra" sheetId="5" state="visible" r:id="rId5"/>
    <sheet xmlns:r="http://schemas.openxmlformats.org/officeDocument/2006/relationships" name="Gastos por Proyecto" sheetId="6" state="visible" r:id="rId6"/>
    <sheet xmlns:r="http://schemas.openxmlformats.org/officeDocument/2006/relationships" name="Facturas por Obra" sheetId="7" state="visible" r:id="rId7"/>
    <sheet xmlns:r="http://schemas.openxmlformats.org/officeDocument/2006/relationships" name="Prorrateo" sheetId="8" state="visible" r:id="rId8"/>
  </sheets>
  <definedNames>
    <definedName name="_xlnm._FilterDatabase" localSheetId="6" hidden="1">'Facturas por Obra'!$A$3:$G$1055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b val="1"/>
      <color rgb="00FFFFFF"/>
      <sz val="11"/>
    </font>
    <font>
      <name val="Calibri"/>
      <b val="1"/>
      <sz val="11"/>
    </font>
    <font>
      <b val="1"/>
      <color rgb="000F3460"/>
    </font>
    <font>
      <i val="1"/>
      <color rgb="0066666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ECF4"/>
        <bgColor rgb="00E8EC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4" fontId="0" fillId="0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22" customWidth="1" min="4" max="4"/>
    <col width="22" customWidth="1" min="5" max="5"/>
    <col width="18" customWidth="1" min="6" max="6"/>
    <col width="20" customWidth="1" min="7" max="7"/>
    <col width="18" customWidth="1" min="8" max="8"/>
    <col width="16" customWidth="1" min="9" max="9"/>
  </cols>
  <sheetData>
    <row r="1">
      <c r="A1" s="1" t="inlineStr">
        <is>
          <t>RESUMEN FINANCIERO ECO STRUCT</t>
        </is>
      </c>
    </row>
    <row r="3">
      <c r="A3" s="2" t="inlineStr">
        <is>
          <t>DATOS GENERALES</t>
        </is>
      </c>
    </row>
    <row r="4">
      <c r="A4" s="3" t="inlineStr">
        <is>
          <t>Total Certificaciones:</t>
        </is>
      </c>
      <c r="B4" s="4">
        <f>'Certificaciones'!C24</f>
        <v/>
      </c>
    </row>
    <row r="5">
      <c r="A5" s="3" t="inlineStr">
        <is>
          <t>Total Gastos Generales:</t>
        </is>
      </c>
      <c r="B5" s="4">
        <f>'Gastos Generales'!E566</f>
        <v/>
      </c>
    </row>
    <row r="6">
      <c r="A6" s="3" t="inlineStr">
        <is>
          <t>Total Vehiculos:</t>
        </is>
      </c>
      <c r="B6" s="4">
        <f>'Vehiculos'!E35</f>
        <v/>
      </c>
    </row>
    <row r="7">
      <c r="A7" s="3" t="inlineStr">
        <is>
          <t>Total Gastos Comunes:</t>
        </is>
      </c>
      <c r="B7" s="4">
        <f>B5+B6</f>
        <v/>
      </c>
    </row>
    <row r="8">
      <c r="A8" s="3" t="inlineStr">
        <is>
          <t>Total Mano de Obra:</t>
        </is>
      </c>
      <c r="B8" s="4">
        <f>'Mano de Obra'!D30</f>
        <v/>
      </c>
    </row>
    <row r="10">
      <c r="A10" s="2" t="inlineStr">
        <is>
          <t>DESGLLOSE POR PROYECTO (con Prorrateo)</t>
        </is>
      </c>
    </row>
    <row r="11">
      <c r="A11" s="5" t="inlineStr">
        <is>
          <t>Proyecto</t>
        </is>
      </c>
      <c r="B11" s="5" t="inlineStr">
        <is>
          <t>Certificacion (EUR)</t>
        </is>
      </c>
      <c r="C11" s="5" t="inlineStr">
        <is>
          <t>% Certif.</t>
        </is>
      </c>
      <c r="D11" s="5" t="inlineStr">
        <is>
          <t>Gastos Prorrateados (EUR)</t>
        </is>
      </c>
      <c r="E11" s="5" t="inlineStr">
        <is>
          <t>Gastos Directos (EUR)</t>
        </is>
      </c>
      <c r="F11" s="5" t="inlineStr">
        <is>
          <t>Mano de Obra (EUR)</t>
        </is>
      </c>
      <c r="G11" s="5" t="inlineStr">
        <is>
          <t>TOTAL COSTE (EUR)</t>
        </is>
      </c>
      <c r="H11" s="5" t="inlineStr">
        <is>
          <t>Margen (EUR)</t>
        </is>
      </c>
      <c r="I11" s="5" t="inlineStr">
        <is>
          <t>% Coste/Certif.</t>
        </is>
      </c>
    </row>
    <row r="12">
      <c r="A12" s="6">
        <f>'Certificaciones'!B4</f>
        <v/>
      </c>
      <c r="B12" s="4">
        <f>'Certificaciones'!C4</f>
        <v/>
      </c>
      <c r="C12" s="6">
        <f>'Certificaciones'!D4</f>
        <v/>
      </c>
      <c r="D12" s="4">
        <f>C12*$B$7</f>
        <v/>
      </c>
      <c r="E12" s="4">
        <f>SUMIF('Gastos por Proyecto'!A:A,A12,'Gastos por Proyecto'!B:B)</f>
        <v/>
      </c>
      <c r="F12" s="4">
        <f>SUMIF('Mano de Obra'!A:A,A12,'Mano de Obra'!D:D)</f>
        <v/>
      </c>
      <c r="G12" s="4">
        <f>D12+E12+F12</f>
        <v/>
      </c>
      <c r="H12" s="4">
        <f>B12-G12</f>
        <v/>
      </c>
      <c r="I12" s="6">
        <f>IF(B12=0,0,G12/B12)</f>
        <v/>
      </c>
    </row>
    <row r="13">
      <c r="A13" s="6">
        <f>'Certificaciones'!B5</f>
        <v/>
      </c>
      <c r="B13" s="4">
        <f>'Certificaciones'!C5</f>
        <v/>
      </c>
      <c r="C13" s="6">
        <f>'Certificaciones'!D5</f>
        <v/>
      </c>
      <c r="D13" s="4">
        <f>C13*$B$7</f>
        <v/>
      </c>
      <c r="E13" s="4">
        <f>SUMIF('Gastos por Proyecto'!A:A,A13,'Gastos por Proyecto'!B:B)</f>
        <v/>
      </c>
      <c r="F13" s="4">
        <f>SUMIF('Mano de Obra'!A:A,A13,'Mano de Obra'!D:D)</f>
        <v/>
      </c>
      <c r="G13" s="4">
        <f>D13+E13+F13</f>
        <v/>
      </c>
      <c r="H13" s="4">
        <f>B13-G13</f>
        <v/>
      </c>
      <c r="I13" s="6">
        <f>IF(B13=0,0,G13/B13)</f>
        <v/>
      </c>
    </row>
    <row r="14">
      <c r="A14" s="6">
        <f>'Certificaciones'!B6</f>
        <v/>
      </c>
      <c r="B14" s="4">
        <f>'Certificaciones'!C6</f>
        <v/>
      </c>
      <c r="C14" s="6">
        <f>'Certificaciones'!D6</f>
        <v/>
      </c>
      <c r="D14" s="4">
        <f>C14*$B$7</f>
        <v/>
      </c>
      <c r="E14" s="4">
        <f>SUMIF('Gastos por Proyecto'!A:A,A14,'Gastos por Proyecto'!B:B)</f>
        <v/>
      </c>
      <c r="F14" s="4">
        <f>SUMIF('Mano de Obra'!A:A,A14,'Mano de Obra'!D:D)</f>
        <v/>
      </c>
      <c r="G14" s="4">
        <f>D14+E14+F14</f>
        <v/>
      </c>
      <c r="H14" s="4">
        <f>B14-G14</f>
        <v/>
      </c>
      <c r="I14" s="6">
        <f>IF(B14=0,0,G14/B14)</f>
        <v/>
      </c>
    </row>
    <row r="15">
      <c r="A15" s="6">
        <f>'Certificaciones'!B7</f>
        <v/>
      </c>
      <c r="B15" s="4">
        <f>'Certificaciones'!C7</f>
        <v/>
      </c>
      <c r="C15" s="6">
        <f>'Certificaciones'!D7</f>
        <v/>
      </c>
      <c r="D15" s="4">
        <f>C15*$B$7</f>
        <v/>
      </c>
      <c r="E15" s="4">
        <f>SUMIF('Gastos por Proyecto'!A:A,A15,'Gastos por Proyecto'!B:B)</f>
        <v/>
      </c>
      <c r="F15" s="4">
        <f>SUMIF('Mano de Obra'!A:A,A15,'Mano de Obra'!D:D)</f>
        <v/>
      </c>
      <c r="G15" s="4">
        <f>D15+E15+F15</f>
        <v/>
      </c>
      <c r="H15" s="4">
        <f>B15-G15</f>
        <v/>
      </c>
      <c r="I15" s="6">
        <f>IF(B15=0,0,G15/B15)</f>
        <v/>
      </c>
    </row>
    <row r="16">
      <c r="A16" s="6">
        <f>'Certificaciones'!B8</f>
        <v/>
      </c>
      <c r="B16" s="4">
        <f>'Certificaciones'!C8</f>
        <v/>
      </c>
      <c r="C16" s="6">
        <f>'Certificaciones'!D8</f>
        <v/>
      </c>
      <c r="D16" s="4">
        <f>C16*$B$7</f>
        <v/>
      </c>
      <c r="E16" s="4">
        <f>SUMIF('Gastos por Proyecto'!A:A,A16,'Gastos por Proyecto'!B:B)</f>
        <v/>
      </c>
      <c r="F16" s="4">
        <f>SUMIF('Mano de Obra'!A:A,A16,'Mano de Obra'!D:D)</f>
        <v/>
      </c>
      <c r="G16" s="4">
        <f>D16+E16+F16</f>
        <v/>
      </c>
      <c r="H16" s="4">
        <f>B16-G16</f>
        <v/>
      </c>
      <c r="I16" s="6">
        <f>IF(B16=0,0,G16/B16)</f>
        <v/>
      </c>
    </row>
    <row r="17">
      <c r="A17" s="6">
        <f>'Certificaciones'!B9</f>
        <v/>
      </c>
      <c r="B17" s="4">
        <f>'Certificaciones'!C9</f>
        <v/>
      </c>
      <c r="C17" s="6">
        <f>'Certificaciones'!D9</f>
        <v/>
      </c>
      <c r="D17" s="4">
        <f>C17*$B$7</f>
        <v/>
      </c>
      <c r="E17" s="4">
        <f>SUMIF('Gastos por Proyecto'!A:A,A17,'Gastos por Proyecto'!B:B)</f>
        <v/>
      </c>
      <c r="F17" s="4">
        <f>SUMIF('Mano de Obra'!A:A,A17,'Mano de Obra'!D:D)</f>
        <v/>
      </c>
      <c r="G17" s="4">
        <f>D17+E17+F17</f>
        <v/>
      </c>
      <c r="H17" s="4">
        <f>B17-G17</f>
        <v/>
      </c>
      <c r="I17" s="6">
        <f>IF(B17=0,0,G17/B17)</f>
        <v/>
      </c>
    </row>
    <row r="18">
      <c r="A18" s="6">
        <f>'Certificaciones'!B10</f>
        <v/>
      </c>
      <c r="B18" s="4">
        <f>'Certificaciones'!C10</f>
        <v/>
      </c>
      <c r="C18" s="6">
        <f>'Certificaciones'!D10</f>
        <v/>
      </c>
      <c r="D18" s="4">
        <f>C18*$B$7</f>
        <v/>
      </c>
      <c r="E18" s="4">
        <f>SUMIF('Gastos por Proyecto'!A:A,A18,'Gastos por Proyecto'!B:B)</f>
        <v/>
      </c>
      <c r="F18" s="4">
        <f>SUMIF('Mano de Obra'!A:A,A18,'Mano de Obra'!D:D)</f>
        <v/>
      </c>
      <c r="G18" s="4">
        <f>D18+E18+F18</f>
        <v/>
      </c>
      <c r="H18" s="4">
        <f>B18-G18</f>
        <v/>
      </c>
      <c r="I18" s="6">
        <f>IF(B18=0,0,G18/B18)</f>
        <v/>
      </c>
    </row>
    <row r="19">
      <c r="A19" s="6">
        <f>'Certificaciones'!B11</f>
        <v/>
      </c>
      <c r="B19" s="4">
        <f>'Certificaciones'!C11</f>
        <v/>
      </c>
      <c r="C19" s="6">
        <f>'Certificaciones'!D11</f>
        <v/>
      </c>
      <c r="D19" s="4">
        <f>C19*$B$7</f>
        <v/>
      </c>
      <c r="E19" s="4">
        <f>SUMIF('Gastos por Proyecto'!A:A,A19,'Gastos por Proyecto'!B:B)</f>
        <v/>
      </c>
      <c r="F19" s="4">
        <f>SUMIF('Mano de Obra'!A:A,A19,'Mano de Obra'!D:D)</f>
        <v/>
      </c>
      <c r="G19" s="4">
        <f>D19+E19+F19</f>
        <v/>
      </c>
      <c r="H19" s="4">
        <f>B19-G19</f>
        <v/>
      </c>
      <c r="I19" s="6">
        <f>IF(B19=0,0,G19/B19)</f>
        <v/>
      </c>
    </row>
    <row r="20">
      <c r="A20" s="6">
        <f>'Certificaciones'!B12</f>
        <v/>
      </c>
      <c r="B20" s="4">
        <f>'Certificaciones'!C12</f>
        <v/>
      </c>
      <c r="C20" s="6">
        <f>'Certificaciones'!D12</f>
        <v/>
      </c>
      <c r="D20" s="4">
        <f>C20*$B$7</f>
        <v/>
      </c>
      <c r="E20" s="4">
        <f>SUMIF('Gastos por Proyecto'!A:A,A20,'Gastos por Proyecto'!B:B)</f>
        <v/>
      </c>
      <c r="F20" s="4">
        <f>SUMIF('Mano de Obra'!A:A,A20,'Mano de Obra'!D:D)</f>
        <v/>
      </c>
      <c r="G20" s="4">
        <f>D20+E20+F20</f>
        <v/>
      </c>
      <c r="H20" s="4">
        <f>B20-G20</f>
        <v/>
      </c>
      <c r="I20" s="6">
        <f>IF(B20=0,0,G20/B20)</f>
        <v/>
      </c>
    </row>
    <row r="21">
      <c r="A21" s="6">
        <f>'Certificaciones'!B13</f>
        <v/>
      </c>
      <c r="B21" s="4">
        <f>'Certificaciones'!C13</f>
        <v/>
      </c>
      <c r="C21" s="6">
        <f>'Certificaciones'!D13</f>
        <v/>
      </c>
      <c r="D21" s="4">
        <f>C21*$B$7</f>
        <v/>
      </c>
      <c r="E21" s="4">
        <f>SUMIF('Gastos por Proyecto'!A:A,A21,'Gastos por Proyecto'!B:B)</f>
        <v/>
      </c>
      <c r="F21" s="4">
        <f>SUMIF('Mano de Obra'!A:A,A21,'Mano de Obra'!D:D)</f>
        <v/>
      </c>
      <c r="G21" s="4">
        <f>D21+E21+F21</f>
        <v/>
      </c>
      <c r="H21" s="4">
        <f>B21-G21</f>
        <v/>
      </c>
      <c r="I21" s="6">
        <f>IF(B21=0,0,G21/B21)</f>
        <v/>
      </c>
    </row>
    <row r="22">
      <c r="A22" s="6">
        <f>'Certificaciones'!B14</f>
        <v/>
      </c>
      <c r="B22" s="4">
        <f>'Certificaciones'!C14</f>
        <v/>
      </c>
      <c r="C22" s="6">
        <f>'Certificaciones'!D14</f>
        <v/>
      </c>
      <c r="D22" s="4">
        <f>C22*$B$7</f>
        <v/>
      </c>
      <c r="E22" s="4">
        <f>SUMIF('Gastos por Proyecto'!A:A,A22,'Gastos por Proyecto'!B:B)</f>
        <v/>
      </c>
      <c r="F22" s="4">
        <f>SUMIF('Mano de Obra'!A:A,A22,'Mano de Obra'!D:D)</f>
        <v/>
      </c>
      <c r="G22" s="4">
        <f>D22+E22+F22</f>
        <v/>
      </c>
      <c r="H22" s="4">
        <f>B22-G22</f>
        <v/>
      </c>
      <c r="I22" s="6">
        <f>IF(B22=0,0,G22/B22)</f>
        <v/>
      </c>
    </row>
    <row r="23">
      <c r="A23" s="6">
        <f>'Certificaciones'!B15</f>
        <v/>
      </c>
      <c r="B23" s="4">
        <f>'Certificaciones'!C15</f>
        <v/>
      </c>
      <c r="C23" s="6">
        <f>'Certificaciones'!D15</f>
        <v/>
      </c>
      <c r="D23" s="4">
        <f>C23*$B$7</f>
        <v/>
      </c>
      <c r="E23" s="4">
        <f>SUMIF('Gastos por Proyecto'!A:A,A23,'Gastos por Proyecto'!B:B)</f>
        <v/>
      </c>
      <c r="F23" s="4">
        <f>SUMIF('Mano de Obra'!A:A,A23,'Mano de Obra'!D:D)</f>
        <v/>
      </c>
      <c r="G23" s="4">
        <f>D23+E23+F23</f>
        <v/>
      </c>
      <c r="H23" s="4">
        <f>B23-G23</f>
        <v/>
      </c>
      <c r="I23" s="6">
        <f>IF(B23=0,0,G23/B23)</f>
        <v/>
      </c>
    </row>
    <row r="24">
      <c r="A24" s="6">
        <f>'Certificaciones'!B16</f>
        <v/>
      </c>
      <c r="B24" s="4">
        <f>'Certificaciones'!C16</f>
        <v/>
      </c>
      <c r="C24" s="6">
        <f>'Certificaciones'!D16</f>
        <v/>
      </c>
      <c r="D24" s="4">
        <f>C24*$B$7</f>
        <v/>
      </c>
      <c r="E24" s="4">
        <f>SUMIF('Gastos por Proyecto'!A:A,A24,'Gastos por Proyecto'!B:B)</f>
        <v/>
      </c>
      <c r="F24" s="4">
        <f>SUMIF('Mano de Obra'!A:A,A24,'Mano de Obra'!D:D)</f>
        <v/>
      </c>
      <c r="G24" s="4">
        <f>D24+E24+F24</f>
        <v/>
      </c>
      <c r="H24" s="4">
        <f>B24-G24</f>
        <v/>
      </c>
      <c r="I24" s="6">
        <f>IF(B24=0,0,G24/B24)</f>
        <v/>
      </c>
    </row>
    <row r="25">
      <c r="A25" s="6">
        <f>'Certificaciones'!B17</f>
        <v/>
      </c>
      <c r="B25" s="4">
        <f>'Certificaciones'!C17</f>
        <v/>
      </c>
      <c r="C25" s="6">
        <f>'Certificaciones'!D17</f>
        <v/>
      </c>
      <c r="D25" s="4">
        <f>C25*$B$7</f>
        <v/>
      </c>
      <c r="E25" s="4">
        <f>SUMIF('Gastos por Proyecto'!A:A,A25,'Gastos por Proyecto'!B:B)</f>
        <v/>
      </c>
      <c r="F25" s="4">
        <f>SUMIF('Mano de Obra'!A:A,A25,'Mano de Obra'!D:D)</f>
        <v/>
      </c>
      <c r="G25" s="4">
        <f>D25+E25+F25</f>
        <v/>
      </c>
      <c r="H25" s="4">
        <f>B25-G25</f>
        <v/>
      </c>
      <c r="I25" s="6">
        <f>IF(B25=0,0,G25/B25)</f>
        <v/>
      </c>
    </row>
    <row r="26">
      <c r="A26" s="6">
        <f>'Certificaciones'!B18</f>
        <v/>
      </c>
      <c r="B26" s="4">
        <f>'Certificaciones'!C18</f>
        <v/>
      </c>
      <c r="C26" s="6">
        <f>'Certificaciones'!D18</f>
        <v/>
      </c>
      <c r="D26" s="4">
        <f>C26*$B$7</f>
        <v/>
      </c>
      <c r="E26" s="4">
        <f>SUMIF('Gastos por Proyecto'!A:A,A26,'Gastos por Proyecto'!B:B)</f>
        <v/>
      </c>
      <c r="F26" s="4">
        <f>SUMIF('Mano de Obra'!A:A,A26,'Mano de Obra'!D:D)</f>
        <v/>
      </c>
      <c r="G26" s="4">
        <f>D26+E26+F26</f>
        <v/>
      </c>
      <c r="H26" s="4">
        <f>B26-G26</f>
        <v/>
      </c>
      <c r="I26" s="6">
        <f>IF(B26=0,0,G26/B26)</f>
        <v/>
      </c>
    </row>
    <row r="27">
      <c r="A27" s="6">
        <f>'Certificaciones'!B19</f>
        <v/>
      </c>
      <c r="B27" s="4">
        <f>'Certificaciones'!C19</f>
        <v/>
      </c>
      <c r="C27" s="6">
        <f>'Certificaciones'!D19</f>
        <v/>
      </c>
      <c r="D27" s="4">
        <f>C27*$B$7</f>
        <v/>
      </c>
      <c r="E27" s="4">
        <f>SUMIF('Gastos por Proyecto'!A:A,A27,'Gastos por Proyecto'!B:B)</f>
        <v/>
      </c>
      <c r="F27" s="4">
        <f>SUMIF('Mano de Obra'!A:A,A27,'Mano de Obra'!D:D)</f>
        <v/>
      </c>
      <c r="G27" s="4">
        <f>D27+E27+F27</f>
        <v/>
      </c>
      <c r="H27" s="4">
        <f>B27-G27</f>
        <v/>
      </c>
      <c r="I27" s="6">
        <f>IF(B27=0,0,G27/B27)</f>
        <v/>
      </c>
    </row>
    <row r="28">
      <c r="A28" s="6">
        <f>'Certificaciones'!B20</f>
        <v/>
      </c>
      <c r="B28" s="4">
        <f>'Certificaciones'!C20</f>
        <v/>
      </c>
      <c r="C28" s="6">
        <f>'Certificaciones'!D20</f>
        <v/>
      </c>
      <c r="D28" s="4">
        <f>C28*$B$7</f>
        <v/>
      </c>
      <c r="E28" s="4">
        <f>SUMIF('Gastos por Proyecto'!A:A,A28,'Gastos por Proyecto'!B:B)</f>
        <v/>
      </c>
      <c r="F28" s="4">
        <f>SUMIF('Mano de Obra'!A:A,A28,'Mano de Obra'!D:D)</f>
        <v/>
      </c>
      <c r="G28" s="4">
        <f>D28+E28+F28</f>
        <v/>
      </c>
      <c r="H28" s="4">
        <f>B28-G28</f>
        <v/>
      </c>
      <c r="I28" s="6">
        <f>IF(B28=0,0,G28/B28)</f>
        <v/>
      </c>
    </row>
    <row r="29">
      <c r="A29" s="6">
        <f>'Certificaciones'!B21</f>
        <v/>
      </c>
      <c r="B29" s="4">
        <f>'Certificaciones'!C21</f>
        <v/>
      </c>
      <c r="C29" s="6">
        <f>'Certificaciones'!D21</f>
        <v/>
      </c>
      <c r="D29" s="4">
        <f>C29*$B$7</f>
        <v/>
      </c>
      <c r="E29" s="4">
        <f>SUMIF('Gastos por Proyecto'!A:A,A29,'Gastos por Proyecto'!B:B)</f>
        <v/>
      </c>
      <c r="F29" s="4">
        <f>SUMIF('Mano de Obra'!A:A,A29,'Mano de Obra'!D:D)</f>
        <v/>
      </c>
      <c r="G29" s="4">
        <f>D29+E29+F29</f>
        <v/>
      </c>
      <c r="H29" s="4">
        <f>B29-G29</f>
        <v/>
      </c>
      <c r="I29" s="6">
        <f>IF(B29=0,0,G29/B29)</f>
        <v/>
      </c>
    </row>
    <row r="30">
      <c r="A30" s="6">
        <f>'Certificaciones'!B22</f>
        <v/>
      </c>
      <c r="B30" s="4">
        <f>'Certificaciones'!C22</f>
        <v/>
      </c>
      <c r="C30" s="6">
        <f>'Certificaciones'!D22</f>
        <v/>
      </c>
      <c r="D30" s="4">
        <f>C30*$B$7</f>
        <v/>
      </c>
      <c r="E30" s="4">
        <f>SUMIF('Gastos por Proyecto'!A:A,A30,'Gastos por Proyecto'!B:B)</f>
        <v/>
      </c>
      <c r="F30" s="4">
        <f>SUMIF('Mano de Obra'!A:A,A30,'Mano de Obra'!D:D)</f>
        <v/>
      </c>
      <c r="G30" s="4">
        <f>D30+E30+F30</f>
        <v/>
      </c>
      <c r="H30" s="4">
        <f>B30-G30</f>
        <v/>
      </c>
      <c r="I30" s="6">
        <f>IF(B30=0,0,G30/B30)</f>
        <v/>
      </c>
    </row>
    <row r="31">
      <c r="A31" s="6">
        <f>'Certificaciones'!B23</f>
        <v/>
      </c>
      <c r="B31" s="4">
        <f>'Certificaciones'!C23</f>
        <v/>
      </c>
      <c r="C31" s="6">
        <f>'Certificaciones'!D23</f>
        <v/>
      </c>
      <c r="D31" s="4">
        <f>C31*$B$7</f>
        <v/>
      </c>
      <c r="E31" s="4">
        <f>SUMIF('Gastos por Proyecto'!A:A,A31,'Gastos por Proyecto'!B:B)</f>
        <v/>
      </c>
      <c r="F31" s="4">
        <f>SUMIF('Mano de Obra'!A:A,A31,'Mano de Obra'!D:D)</f>
        <v/>
      </c>
      <c r="G31" s="4">
        <f>D31+E31+F31</f>
        <v/>
      </c>
      <c r="H31" s="4">
        <f>B31-G31</f>
        <v/>
      </c>
      <c r="I31" s="6">
        <f>IF(B31=0,0,G31/B31)</f>
        <v/>
      </c>
    </row>
    <row r="32">
      <c r="A32" s="7" t="inlineStr">
        <is>
          <t>TOTAL GENERAL</t>
        </is>
      </c>
      <c r="B32" s="8">
        <f>SUM(B12:B31)</f>
        <v/>
      </c>
      <c r="C32" s="7">
        <f>SUM(C12:C31)</f>
        <v/>
      </c>
      <c r="D32" s="8">
        <f>SUM(D12:D31)</f>
        <v/>
      </c>
      <c r="E32" s="8">
        <f>SUM(E12:E31)</f>
        <v/>
      </c>
      <c r="F32" s="8">
        <f>SUM(F12:F31)</f>
        <v/>
      </c>
      <c r="G32" s="8">
        <f>SUM(G12:G31)</f>
        <v/>
      </c>
      <c r="H32" s="8">
        <f>SUM(H12:H31)</f>
        <v/>
      </c>
      <c r="I32" s="7">
        <f>IF(B32=0,0,G32/B32)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22" customWidth="1" min="5" max="5"/>
  </cols>
  <sheetData>
    <row r="1">
      <c r="A1" s="1" t="inlineStr">
        <is>
          <t>CERTIFICACIONES A FECHA DE 31/08/2026</t>
        </is>
      </c>
    </row>
    <row r="3">
      <c r="A3" s="5" t="inlineStr">
        <is>
          <t>N</t>
        </is>
      </c>
      <c r="B3" s="5" t="inlineStr">
        <is>
          <t>Proyecto</t>
        </is>
      </c>
      <c r="C3" s="5" t="inlineStr">
        <is>
          <t>Certificacion (EUR)</t>
        </is>
      </c>
      <c r="D3" s="5" t="inlineStr">
        <is>
          <t>% del Total</t>
        </is>
      </c>
      <c r="E3" s="5" t="inlineStr">
        <is>
          <t>Observaciones</t>
        </is>
      </c>
    </row>
    <row r="4">
      <c r="A4" s="6" t="n">
        <v>1</v>
      </c>
      <c r="B4" s="6" t="inlineStr">
        <is>
          <t>FORMENTERA 14, JUANMA</t>
        </is>
      </c>
      <c r="C4" s="4" t="n">
        <v>451635.85</v>
      </c>
      <c r="D4" s="6">
        <f>C4/C24</f>
        <v/>
      </c>
      <c r="E4" s="6" t="inlineStr"/>
    </row>
    <row r="5">
      <c r="A5" s="6" t="n">
        <v>2</v>
      </c>
      <c r="B5" s="6" t="inlineStr">
        <is>
          <t>FORMENTERA 12, JOAQUIN</t>
        </is>
      </c>
      <c r="C5" s="4" t="n">
        <v>363068.33</v>
      </c>
      <c r="D5" s="6">
        <f>C5/C24</f>
        <v/>
      </c>
      <c r="E5" s="6" t="inlineStr"/>
    </row>
    <row r="6">
      <c r="A6" s="6" t="n">
        <v>3</v>
      </c>
      <c r="B6" s="6" t="inlineStr">
        <is>
          <t>PLAZA CIRCULAR</t>
        </is>
      </c>
      <c r="C6" s="4" t="n">
        <v>278129.21</v>
      </c>
      <c r="D6" s="6">
        <f>C6/C24</f>
        <v/>
      </c>
      <c r="E6" s="6" t="inlineStr"/>
    </row>
    <row r="7">
      <c r="A7" s="6" t="n">
        <v>4</v>
      </c>
      <c r="B7" s="6" t="inlineStr">
        <is>
          <t>LA ALBERCA</t>
        </is>
      </c>
      <c r="C7" s="4" t="n">
        <v>116432.26</v>
      </c>
      <c r="D7" s="6">
        <f>C7/C24</f>
        <v/>
      </c>
      <c r="E7" s="6" t="inlineStr"/>
    </row>
    <row r="8">
      <c r="A8" s="6" t="n">
        <v>5</v>
      </c>
      <c r="B8" s="6" t="inlineStr">
        <is>
          <t>OBRA LUC2</t>
        </is>
      </c>
      <c r="C8" s="4" t="n">
        <v>88834.71000000001</v>
      </c>
      <c r="D8" s="6">
        <f>C8/C24</f>
        <v/>
      </c>
      <c r="E8" s="6" t="inlineStr"/>
    </row>
    <row r="9">
      <c r="A9" s="6" t="n">
        <v>6</v>
      </c>
      <c r="B9" s="6" t="inlineStr">
        <is>
          <t>EDIFICIO ALICANTE C/MAESTRO BARBIERI (LA PARTE DIFICIL)</t>
        </is>
      </c>
      <c r="C9" s="4" t="n">
        <v>63277.34</v>
      </c>
      <c r="D9" s="6">
        <f>C9/C24</f>
        <v/>
      </c>
      <c r="E9" s="6" t="inlineStr">
        <is>
          <t>24014</t>
        </is>
      </c>
    </row>
    <row r="10">
      <c r="A10" s="6" t="n">
        <v>7</v>
      </c>
      <c r="B10" s="6" t="inlineStr">
        <is>
          <t>CUARTEL DE ARTILLERIA, MURCIA (LA PARTE DIFICIL)</t>
        </is>
      </c>
      <c r="C10" s="4" t="n">
        <v>3288</v>
      </c>
      <c r="D10" s="6">
        <f>C10/C24</f>
        <v/>
      </c>
      <c r="E10" s="6" t="inlineStr">
        <is>
          <t>24015</t>
        </is>
      </c>
    </row>
    <row r="11">
      <c r="A11" s="6" t="n">
        <v>8</v>
      </c>
      <c r="B11" s="6" t="inlineStr">
        <is>
          <t>CEMENTERIO, MURCIA</t>
        </is>
      </c>
      <c r="C11" s="4" t="n">
        <v>46635.25</v>
      </c>
      <c r="D11" s="6">
        <f>C11/C24</f>
        <v/>
      </c>
      <c r="E11" s="6" t="inlineStr"/>
    </row>
    <row r="12">
      <c r="A12" s="6" t="n">
        <v>9</v>
      </c>
      <c r="B12" s="6" t="inlineStr">
        <is>
          <t>BARINAS</t>
        </is>
      </c>
      <c r="C12" s="4" t="n">
        <v>45611.44</v>
      </c>
      <c r="D12" s="6">
        <f>C12/C24</f>
        <v/>
      </c>
      <c r="E12" s="6" t="inlineStr"/>
    </row>
    <row r="13">
      <c r="A13" s="6" t="n">
        <v>10</v>
      </c>
      <c r="B13" s="6" t="inlineStr">
        <is>
          <t>HELENA Y JACOBO</t>
        </is>
      </c>
      <c r="C13" s="4" t="n">
        <v>41569.41</v>
      </c>
      <c r="D13" s="6">
        <f>C13/C24</f>
        <v/>
      </c>
      <c r="E13" s="6" t="inlineStr"/>
    </row>
    <row r="14">
      <c r="A14" s="6" t="n">
        <v>11</v>
      </c>
      <c r="B14" s="6" t="inlineStr">
        <is>
          <t>SANTA ROSA</t>
        </is>
      </c>
      <c r="C14" s="4" t="n">
        <v>23917.62</v>
      </c>
      <c r="D14" s="6">
        <f>C14/C24</f>
        <v/>
      </c>
      <c r="E14" s="6" t="inlineStr"/>
    </row>
    <row r="15">
      <c r="A15" s="6" t="n">
        <v>12</v>
      </c>
      <c r="B15" s="6" t="inlineStr">
        <is>
          <t>CASTILLO DE ELDA</t>
        </is>
      </c>
      <c r="C15" s="4" t="n">
        <v>21606.67</v>
      </c>
      <c r="D15" s="6">
        <f>C15/C24</f>
        <v/>
      </c>
      <c r="E15" s="6" t="inlineStr"/>
    </row>
    <row r="16">
      <c r="A16" s="6" t="n">
        <v>13</v>
      </c>
      <c r="B16" s="6" t="inlineStr">
        <is>
          <t>A-13</t>
        </is>
      </c>
      <c r="C16" s="4" t="n">
        <v>16241.92</v>
      </c>
      <c r="D16" s="6">
        <f>C16/C24</f>
        <v/>
      </c>
      <c r="E16" s="6" t="inlineStr"/>
    </row>
    <row r="17">
      <c r="A17" s="6" t="n">
        <v>14</v>
      </c>
      <c r="B17" s="6" t="inlineStr">
        <is>
          <t>CARLA, PINOSO</t>
        </is>
      </c>
      <c r="C17" s="4" t="n">
        <v>15050.98</v>
      </c>
      <c r="D17" s="6">
        <f>C17/C24</f>
        <v/>
      </c>
      <c r="E17" s="6" t="inlineStr"/>
    </row>
    <row r="18">
      <c r="A18" s="6" t="n">
        <v>15</v>
      </c>
      <c r="B18" s="6" t="inlineStr">
        <is>
          <t>CARTAGENA, MURCIA</t>
        </is>
      </c>
      <c r="C18" s="4" t="n">
        <v>13330.32</v>
      </c>
      <c r="D18" s="6">
        <f>C18/C24</f>
        <v/>
      </c>
      <c r="E18" s="6" t="inlineStr"/>
    </row>
    <row r="19">
      <c r="A19" s="6" t="n">
        <v>16</v>
      </c>
      <c r="B19" s="6" t="inlineStr">
        <is>
          <t>GARAJE MURCIA</t>
        </is>
      </c>
      <c r="C19" s="4" t="n">
        <v>8875.66</v>
      </c>
      <c r="D19" s="6">
        <f>C19/C24</f>
        <v/>
      </c>
      <c r="E19" s="6" t="inlineStr"/>
    </row>
    <row r="20">
      <c r="A20" s="6" t="n">
        <v>17</v>
      </c>
      <c r="B20" s="6" t="inlineStr">
        <is>
          <t>CBS</t>
        </is>
      </c>
      <c r="C20" s="4" t="n">
        <v>7600</v>
      </c>
      <c r="D20" s="6">
        <f>C20/C24</f>
        <v/>
      </c>
      <c r="E20" s="6" t="inlineStr"/>
    </row>
    <row r="21">
      <c r="A21" s="6" t="n">
        <v>18</v>
      </c>
      <c r="B21" s="6" t="inlineStr">
        <is>
          <t>PISO IBI</t>
        </is>
      </c>
      <c r="C21" s="4" t="n">
        <v>4320</v>
      </c>
      <c r="D21" s="6">
        <f>C21/C24</f>
        <v/>
      </c>
      <c r="E21" s="6" t="inlineStr">
        <is>
          <t>Administracion</t>
        </is>
      </c>
    </row>
    <row r="22">
      <c r="A22" s="6" t="n">
        <v>19</v>
      </c>
      <c r="B22" s="6" t="inlineStr">
        <is>
          <t>PEREAMAR</t>
        </is>
      </c>
      <c r="C22" s="4" t="n">
        <v>2073.34</v>
      </c>
      <c r="D22" s="6">
        <f>C22/C24</f>
        <v/>
      </c>
      <c r="E22" s="6" t="inlineStr"/>
    </row>
    <row r="23">
      <c r="A23" s="6" t="n">
        <v>20</v>
      </c>
      <c r="B23" s="6" t="inlineStr">
        <is>
          <t>PADRE TRINI</t>
        </is>
      </c>
      <c r="C23" s="4" t="n">
        <v>1407.99</v>
      </c>
      <c r="D23" s="6">
        <f>C23/C24</f>
        <v/>
      </c>
      <c r="E23" s="6" t="inlineStr"/>
    </row>
    <row r="24">
      <c r="A24" s="7" t="n"/>
      <c r="B24" s="7" t="inlineStr">
        <is>
          <t>TOTAL CERTIFICACIONES</t>
        </is>
      </c>
      <c r="C24" s="8">
        <f>SUM(C4:C23)</f>
        <v/>
      </c>
      <c r="D24" s="7">
        <f>SUM(D4:D23)</f>
        <v/>
      </c>
      <c r="E24" s="7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GASTOS GENERALES (562 facturas)</t>
        </is>
      </c>
    </row>
    <row r="3">
      <c r="A3" s="5" t="inlineStr">
        <is>
          <t>Codigo</t>
        </is>
      </c>
      <c r="B3" s="5" t="inlineStr">
        <is>
          <t>Fecha</t>
        </is>
      </c>
      <c r="C3" s="5" t="inlineStr">
        <is>
          <t>Titulo/Concepto</t>
        </is>
      </c>
      <c r="D3" s="5" t="inlineStr">
        <is>
          <t>Proveedor</t>
        </is>
      </c>
      <c r="E3" s="5" t="inlineStr">
        <is>
          <t>Importe (EUR)</t>
        </is>
      </c>
      <c r="F3" s="5" t="inlineStr">
        <is>
          <t>Observaciones</t>
        </is>
      </c>
    </row>
    <row r="4">
      <c r="A4" s="6" t="inlineStr">
        <is>
          <t>1.897,00</t>
        </is>
      </c>
      <c r="B4" s="6" t="inlineStr">
        <is>
          <t>01/09/2026</t>
        </is>
      </c>
      <c r="C4" s="6" t="inlineStr">
        <is>
          <t>PLENOIL JULIO</t>
        </is>
      </c>
      <c r="D4" s="6" t="inlineStr">
        <is>
          <t>PLENOIL SL.</t>
        </is>
      </c>
      <c r="E4" s="4" t="n">
        <v>1699.09</v>
      </c>
      <c r="F4" s="6" t="n"/>
    </row>
    <row r="5">
      <c r="A5" s="6" t="inlineStr">
        <is>
          <t>1.882,00</t>
        </is>
      </c>
      <c r="B5" s="6" t="inlineStr">
        <is>
          <t>26/08/2026</t>
        </is>
      </c>
      <c r="C5" s="6" t="inlineStr">
        <is>
          <t>ASESORIA LABORAL JULIO</t>
        </is>
      </c>
      <c r="D5" s="6" t="inlineStr"/>
      <c r="E5" s="4" t="n">
        <v>260</v>
      </c>
      <c r="F5" s="6" t="n"/>
    </row>
    <row r="6">
      <c r="A6" s="6" t="inlineStr">
        <is>
          <t>1.875,00</t>
        </is>
      </c>
      <c r="B6" s="6" t="inlineStr">
        <is>
          <t>26/08/2026</t>
        </is>
      </c>
      <c r="C6" s="6" t="inlineStr">
        <is>
          <t>REPOSTAJE</t>
        </is>
      </c>
      <c r="D6" s="6" t="inlineStr">
        <is>
          <t>CONCORDY SA</t>
        </is>
      </c>
      <c r="E6" s="4" t="n">
        <v>74.39</v>
      </c>
      <c r="F6" s="6" t="n"/>
    </row>
    <row r="7">
      <c r="A7" s="6" t="inlineStr">
        <is>
          <t>1.874,00</t>
        </is>
      </c>
      <c r="B7" s="6" t="inlineStr">
        <is>
          <t>26/08/2026</t>
        </is>
      </c>
      <c r="C7" s="6" t="inlineStr">
        <is>
          <t>RECONOCIMIENTOS MEDICOS</t>
        </is>
      </c>
      <c r="D7" s="6" t="inlineStr">
        <is>
          <t>EUROPREVEN SERVICIOS DE PREVENCION DE RIESGOS LABORALES SL</t>
        </is>
      </c>
      <c r="E7" s="4" t="n">
        <v>175.8</v>
      </c>
      <c r="F7" s="6" t="n"/>
    </row>
    <row r="8">
      <c r="A8" s="6" t="inlineStr">
        <is>
          <t>1.873,00</t>
        </is>
      </c>
      <c r="B8" s="6" t="inlineStr">
        <is>
          <t>26/08/2026</t>
        </is>
      </c>
      <c r="C8" s="6" t="inlineStr">
        <is>
          <t>ASESORAMIENTO CONTABLE FISCAL</t>
        </is>
      </c>
      <c r="D8" s="6" t="inlineStr"/>
      <c r="E8" s="4" t="n">
        <v>360.15</v>
      </c>
      <c r="F8" s="6" t="n"/>
    </row>
    <row r="9">
      <c r="A9" s="6" t="inlineStr">
        <is>
          <t>1.860,00</t>
        </is>
      </c>
      <c r="B9" s="6" t="inlineStr">
        <is>
          <t>28/07/2026</t>
        </is>
      </c>
      <c r="C9" s="6" t="inlineStr">
        <is>
          <t>GRUA</t>
        </is>
      </c>
      <c r="D9" s="6" t="inlineStr">
        <is>
          <t>GRUAS Y MAQUINARIA PETREL SL</t>
        </is>
      </c>
      <c r="E9" s="4" t="n">
        <v>260</v>
      </c>
      <c r="F9" s="6" t="n"/>
    </row>
    <row r="10">
      <c r="A10" s="6" t="inlineStr">
        <is>
          <t>1.850,00</t>
        </is>
      </c>
      <c r="B10" s="6" t="inlineStr">
        <is>
          <t>24/07/2026</t>
        </is>
      </c>
      <c r="C10" s="6" t="inlineStr">
        <is>
          <t>CUERDA</t>
        </is>
      </c>
      <c r="D10" s="6" t="inlineStr">
        <is>
          <t>FERRELDA SL</t>
        </is>
      </c>
      <c r="E10" s="4" t="n">
        <v>64.7</v>
      </c>
      <c r="F10" s="6" t="n"/>
    </row>
    <row r="11">
      <c r="A11" s="6" t="inlineStr">
        <is>
          <t>1.846,00</t>
        </is>
      </c>
      <c r="B11" s="6" t="inlineStr">
        <is>
          <t>24/07/2026</t>
        </is>
      </c>
      <c r="C11" s="6" t="inlineStr">
        <is>
          <t>LAVADO COHES</t>
        </is>
      </c>
      <c r="D11" s="6" t="inlineStr">
        <is>
          <t>FARES JAVIER HERNANDEZ OSORIO</t>
        </is>
      </c>
      <c r="E11" s="4" t="n">
        <v>59</v>
      </c>
      <c r="F11" s="6" t="n"/>
    </row>
    <row r="12">
      <c r="A12" s="6" t="inlineStr">
        <is>
          <t>1.845,00</t>
        </is>
      </c>
      <c r="B12" s="6" t="inlineStr">
        <is>
          <t>24/07/2026</t>
        </is>
      </c>
      <c r="C12" s="6" t="inlineStr">
        <is>
          <t>LAVADO OPEL COMBO</t>
        </is>
      </c>
      <c r="D12" s="6" t="inlineStr">
        <is>
          <t>FARES JAVIER HERNANDEZ OSORIO</t>
        </is>
      </c>
      <c r="E12" s="4" t="n">
        <v>35</v>
      </c>
      <c r="F12" s="6" t="n"/>
    </row>
    <row r="13">
      <c r="A13" s="6" t="inlineStr">
        <is>
          <t>1.842,00</t>
        </is>
      </c>
      <c r="B13" s="6" t="inlineStr">
        <is>
          <t>24/07/2026</t>
        </is>
      </c>
      <c r="C13" s="6" t="inlineStr">
        <is>
          <t>SACO ASPIRADORA</t>
        </is>
      </c>
      <c r="D13" s="6" t="inlineStr">
        <is>
          <t>HILTI ESPAÑOLA SA</t>
        </is>
      </c>
      <c r="E13" s="4" t="n">
        <v>74.76000000000001</v>
      </c>
      <c r="F13" s="6" t="n"/>
    </row>
    <row r="14">
      <c r="A14" s="6" t="inlineStr">
        <is>
          <t>1.827,00</t>
        </is>
      </c>
      <c r="B14" s="6" t="inlineStr">
        <is>
          <t>21/07/2026</t>
        </is>
      </c>
      <c r="C14" s="6" t="inlineStr">
        <is>
          <t>REPOSTAJE</t>
        </is>
      </c>
      <c r="D14" s="6" t="inlineStr">
        <is>
          <t>REPSOL SOLUCIONES ENERGETICAS SA.</t>
        </is>
      </c>
      <c r="E14" s="4" t="n">
        <v>16.53</v>
      </c>
      <c r="F14" s="6" t="n"/>
    </row>
    <row r="15">
      <c r="A15" s="6" t="inlineStr">
        <is>
          <t>1.826,00</t>
        </is>
      </c>
      <c r="B15" s="6" t="inlineStr">
        <is>
          <t>21/07/2026</t>
        </is>
      </c>
      <c r="C15" s="6" t="inlineStr">
        <is>
          <t>ALQUILER NAVE JULIO</t>
        </is>
      </c>
      <c r="D15" s="6" t="inlineStr">
        <is>
          <t>PINKY VELVET INTERNATIONAL SL</t>
        </is>
      </c>
      <c r="E15" s="4" t="n">
        <v>350</v>
      </c>
      <c r="F15" s="6" t="n"/>
    </row>
    <row r="16">
      <c r="A16" s="6" t="inlineStr">
        <is>
          <t>1.825,00</t>
        </is>
      </c>
      <c r="B16" s="6" t="inlineStr">
        <is>
          <t>21/07/2026</t>
        </is>
      </c>
      <c r="C16" s="6" t="inlineStr">
        <is>
          <t>REPOSTAJE</t>
        </is>
      </c>
      <c r="D16" s="6" t="inlineStr">
        <is>
          <t>CAMPSA ESTACIONES DE SERVICIO SA</t>
        </is>
      </c>
      <c r="E16" s="4" t="n">
        <v>22.97</v>
      </c>
      <c r="F16" s="6" t="n"/>
    </row>
    <row r="17">
      <c r="A17" s="6" t="inlineStr">
        <is>
          <t>1.822,00</t>
        </is>
      </c>
      <c r="B17" s="6" t="inlineStr">
        <is>
          <t>21/07/2026</t>
        </is>
      </c>
      <c r="C17" s="6" t="inlineStr">
        <is>
          <t>DISCO DE CORTE</t>
        </is>
      </c>
      <c r="D17" s="6" t="inlineStr">
        <is>
          <t>JUAN JOSÉ MUÑOZ ROBLES</t>
        </is>
      </c>
      <c r="E17" s="4" t="n">
        <v>187.5</v>
      </c>
      <c r="F17" s="6" t="n"/>
    </row>
    <row r="18">
      <c r="A18" s="6" t="inlineStr">
        <is>
          <t>1.815,00</t>
        </is>
      </c>
      <c r="B18" s="6" t="inlineStr">
        <is>
          <t>14/07/2026</t>
        </is>
      </c>
      <c r="C18" s="6" t="inlineStr">
        <is>
          <t>SPRAY PINTURA</t>
        </is>
      </c>
      <c r="D18" s="6" t="inlineStr">
        <is>
          <t>PINTURAS IDELLA SL.</t>
        </is>
      </c>
      <c r="E18" s="4" t="n">
        <v>19.31</v>
      </c>
      <c r="F18" s="6" t="n"/>
    </row>
    <row r="19">
      <c r="A19" s="6" t="inlineStr">
        <is>
          <t>1.814,00</t>
        </is>
      </c>
      <c r="B19" s="6" t="inlineStr">
        <is>
          <t>14/07/2026</t>
        </is>
      </c>
      <c r="C19" s="6" t="inlineStr">
        <is>
          <t>RECONOCIMIENTO MÉDICO</t>
        </is>
      </c>
      <c r="D19" s="6" t="inlineStr">
        <is>
          <t>EUROPREVEN SERVICIOS DE PREVENCION DE RIESGOS LABORALES SL</t>
        </is>
      </c>
      <c r="E19" s="4" t="n">
        <v>175.8</v>
      </c>
      <c r="F19" s="6" t="n"/>
    </row>
    <row r="20">
      <c r="A20" s="6" t="inlineStr">
        <is>
          <t>1.811,00</t>
        </is>
      </c>
      <c r="B20" s="6" t="inlineStr">
        <is>
          <t>13/07/2026</t>
        </is>
      </c>
      <c r="C20" s="6" t="inlineStr">
        <is>
          <t>ASESORÍA LABORAL JUNIO</t>
        </is>
      </c>
      <c r="D20" s="6" t="inlineStr"/>
      <c r="E20" s="4" t="n">
        <v>260</v>
      </c>
      <c r="F20" s="6" t="n"/>
    </row>
    <row r="21">
      <c r="A21" s="6" t="inlineStr">
        <is>
          <t>1.808,00</t>
        </is>
      </c>
      <c r="B21" s="6" t="inlineStr">
        <is>
          <t>10/07/2026</t>
        </is>
      </c>
      <c r="C21" s="6" t="inlineStr">
        <is>
          <t>TAPA POROS HIERRO GALVANIZADO</t>
        </is>
      </c>
      <c r="D21" s="6" t="inlineStr">
        <is>
          <t>SUMINISTROS DOMINGUEZ AGUILERA ELDA SL.</t>
        </is>
      </c>
      <c r="E21" s="4" t="n">
        <v>-17</v>
      </c>
      <c r="F21" s="6" t="n"/>
    </row>
    <row r="22">
      <c r="A22" s="6" t="inlineStr">
        <is>
          <t>1.807,00</t>
        </is>
      </c>
      <c r="B22" s="6" t="inlineStr">
        <is>
          <t>10/07/2026</t>
        </is>
      </c>
      <c r="C22" s="6" t="inlineStr">
        <is>
          <t>FONTANERIA</t>
        </is>
      </c>
      <c r="D22" s="6" t="inlineStr">
        <is>
          <t>SUMINISTROS DOMINGUEZ AGUILERA ELDA SL.</t>
        </is>
      </c>
      <c r="E22" s="4" t="n">
        <v>-29.68</v>
      </c>
      <c r="F22" s="6" t="n"/>
    </row>
    <row r="23">
      <c r="A23" s="6" t="inlineStr">
        <is>
          <t>1.806,00</t>
        </is>
      </c>
      <c r="B23" s="6" t="inlineStr">
        <is>
          <t>10/07/2026</t>
        </is>
      </c>
      <c r="C23" s="6" t="inlineStr">
        <is>
          <t>MAQUINARIA HONDA</t>
        </is>
      </c>
      <c r="D23" s="6" t="inlineStr">
        <is>
          <t>POLI PRIMI SL</t>
        </is>
      </c>
      <c r="E23" s="4" t="n">
        <v>1983.47</v>
      </c>
      <c r="F23" s="6" t="n"/>
    </row>
    <row r="24">
      <c r="A24" s="6" t="inlineStr">
        <is>
          <t>1.805,00</t>
        </is>
      </c>
      <c r="B24" s="6" t="inlineStr">
        <is>
          <t>10/07/2026</t>
        </is>
      </c>
      <c r="C24" s="6" t="inlineStr">
        <is>
          <t>HOLDED JUNIO</t>
        </is>
      </c>
      <c r="D24" s="6" t="inlineStr">
        <is>
          <t>HOLDED TECHNOLOGIES SL.</t>
        </is>
      </c>
      <c r="E24" s="4" t="n">
        <v>59</v>
      </c>
      <c r="F24" s="6" t="n"/>
    </row>
    <row r="25">
      <c r="A25" s="6" t="inlineStr">
        <is>
          <t>1.799,00</t>
        </is>
      </c>
      <c r="B25" s="6" t="inlineStr">
        <is>
          <t>10/07/2026</t>
        </is>
      </c>
      <c r="C25" s="6" t="inlineStr">
        <is>
          <t>PLENOIL JUNIO</t>
        </is>
      </c>
      <c r="D25" s="6" t="inlineStr">
        <is>
          <t>PLENOIL SL.</t>
        </is>
      </c>
      <c r="E25" s="4" t="n">
        <v>1745.38</v>
      </c>
      <c r="F25" s="6" t="n"/>
    </row>
    <row r="26">
      <c r="A26" s="6" t="inlineStr">
        <is>
          <t>1.797,00</t>
        </is>
      </c>
      <c r="B26" s="6" t="inlineStr">
        <is>
          <t>10/07/2026</t>
        </is>
      </c>
      <c r="C26" s="6" t="inlineStr">
        <is>
          <t>VARIOS COMPRA</t>
        </is>
      </c>
      <c r="D26" s="6" t="inlineStr">
        <is>
          <t>CASH LEVANTE SL</t>
        </is>
      </c>
      <c r="E26" s="4" t="n">
        <v>134.86</v>
      </c>
      <c r="F26" s="6" t="n"/>
    </row>
    <row r="27">
      <c r="A27" s="6" t="inlineStr">
        <is>
          <t>1.794,00</t>
        </is>
      </c>
      <c r="B27" s="6" t="inlineStr">
        <is>
          <t>10/07/2026</t>
        </is>
      </c>
      <c r="C27" s="6" t="inlineStr">
        <is>
          <t>NATURGY JUNIO</t>
        </is>
      </c>
      <c r="D27" s="6" t="inlineStr"/>
      <c r="E27" s="4" t="n">
        <v>30.35</v>
      </c>
      <c r="F27" s="6" t="n"/>
    </row>
    <row r="28">
      <c r="A28" s="6" t="inlineStr">
        <is>
          <t>1.786,00</t>
        </is>
      </c>
      <c r="B28" s="6" t="inlineStr">
        <is>
          <t>09/07/2026</t>
        </is>
      </c>
      <c r="C28" s="6" t="inlineStr">
        <is>
          <t>SACO PARA POLVO</t>
        </is>
      </c>
      <c r="D28" s="6" t="inlineStr">
        <is>
          <t>HILTI ESPAÑOLA SA</t>
        </is>
      </c>
      <c r="E28" s="4" t="n">
        <v>100.28</v>
      </c>
      <c r="F28" s="6" t="n"/>
    </row>
    <row r="29">
      <c r="A29" s="6" t="inlineStr">
        <is>
          <t>1.785,00</t>
        </is>
      </c>
      <c r="B29" s="6" t="inlineStr">
        <is>
          <t>09/07/2026</t>
        </is>
      </c>
      <c r="C29" s="6" t="inlineStr">
        <is>
          <t>REPOSTAJE</t>
        </is>
      </c>
      <c r="D29" s="6" t="inlineStr">
        <is>
          <t>JR VIDAL RICO SL</t>
        </is>
      </c>
      <c r="E29" s="4" t="n">
        <v>65.69</v>
      </c>
      <c r="F29" s="6" t="n"/>
    </row>
    <row r="30">
      <c r="A30" s="6" t="inlineStr">
        <is>
          <t>1.776,00</t>
        </is>
      </c>
      <c r="B30" s="6" t="inlineStr">
        <is>
          <t>02/07/2026</t>
        </is>
      </c>
      <c r="C30" s="6" t="inlineStr">
        <is>
          <t>MATERIAL</t>
        </is>
      </c>
      <c r="D30" s="6" t="inlineStr">
        <is>
          <t>SUMINISTROS DOMINGUEZ AGUILERA ELDA SL.</t>
        </is>
      </c>
      <c r="E30" s="4" t="n">
        <v>11.83</v>
      </c>
      <c r="F30" s="6" t="n"/>
    </row>
    <row r="31">
      <c r="A31" s="6" t="inlineStr">
        <is>
          <t>1.775,00</t>
        </is>
      </c>
      <c r="B31" s="6" t="inlineStr">
        <is>
          <t>02/07/2026</t>
        </is>
      </c>
      <c r="C31" s="6" t="inlineStr">
        <is>
          <t>ARANDELAS</t>
        </is>
      </c>
      <c r="D31" s="6" t="inlineStr">
        <is>
          <t>SUMINISTROS DOMINGUEZ AGUILERA ELDA SL.</t>
        </is>
      </c>
      <c r="E31" s="4" t="n">
        <v>43.75</v>
      </c>
      <c r="F31" s="6" t="n"/>
    </row>
    <row r="32">
      <c r="A32" s="6" t="inlineStr">
        <is>
          <t>1.774,00</t>
        </is>
      </c>
      <c r="B32" s="6" t="inlineStr">
        <is>
          <t>02/07/2026</t>
        </is>
      </c>
      <c r="C32" s="6" t="inlineStr">
        <is>
          <t>FONTANERIA</t>
        </is>
      </c>
      <c r="D32" s="6" t="inlineStr">
        <is>
          <t>SUMINISTROS DOMINGUEZ AGUILERA ELDA SL.</t>
        </is>
      </c>
      <c r="E32" s="4" t="n">
        <v>29.68</v>
      </c>
      <c r="F32" s="6" t="n"/>
    </row>
    <row r="33">
      <c r="A33" s="6" t="inlineStr">
        <is>
          <t>1.768,00</t>
        </is>
      </c>
      <c r="B33" s="6" t="inlineStr">
        <is>
          <t>02/07/2026</t>
        </is>
      </c>
      <c r="C33" s="6" t="inlineStr">
        <is>
          <t>CONTROLADOR PH</t>
        </is>
      </c>
      <c r="D33" s="6" t="inlineStr">
        <is>
          <t>SUMINISTROS DOMINGUEZ AGUILERA ELDA SL.</t>
        </is>
      </c>
      <c r="E33" s="4" t="n">
        <v>34.83</v>
      </c>
      <c r="F33" s="6" t="n"/>
    </row>
    <row r="34">
      <c r="A34" s="6" t="inlineStr">
        <is>
          <t>1.767,00</t>
        </is>
      </c>
      <c r="B34" s="6" t="inlineStr">
        <is>
          <t>01/07/2026</t>
        </is>
      </c>
      <c r="C34" s="6" t="inlineStr">
        <is>
          <t>MATERIAL OFICINA</t>
        </is>
      </c>
      <c r="D34" s="6" t="inlineStr">
        <is>
          <t>LOPA PAPER SL.</t>
        </is>
      </c>
      <c r="E34" s="4" t="n">
        <v>88.09999999999999</v>
      </c>
      <c r="F34" s="6" t="n"/>
    </row>
    <row r="35">
      <c r="A35" s="6" t="inlineStr">
        <is>
          <t>1.766,00</t>
        </is>
      </c>
      <c r="B35" s="6" t="inlineStr">
        <is>
          <t>30/06/2026</t>
        </is>
      </c>
      <c r="C35" s="6" t="inlineStr">
        <is>
          <t>VIA T</t>
        </is>
      </c>
      <c r="D35" s="6" t="inlineStr"/>
      <c r="E35" s="4" t="n">
        <v>2.69</v>
      </c>
      <c r="F35" s="6" t="n"/>
    </row>
    <row r="36">
      <c r="A36" s="6" t="inlineStr">
        <is>
          <t>1.756,00</t>
        </is>
      </c>
      <c r="B36" s="6" t="inlineStr">
        <is>
          <t>26/06/2026</t>
        </is>
      </c>
      <c r="C36" s="6" t="inlineStr">
        <is>
          <t>REPOSTAJE</t>
        </is>
      </c>
      <c r="D36" s="6" t="inlineStr">
        <is>
          <t>EXPLOTACION ESTACION DE SERVICIO SA</t>
        </is>
      </c>
      <c r="E36" s="4" t="n">
        <v>72.16</v>
      </c>
      <c r="F36" s="6" t="n"/>
    </row>
    <row r="37">
      <c r="A37" s="6" t="inlineStr">
        <is>
          <t>1.755,00</t>
        </is>
      </c>
      <c r="B37" s="6" t="inlineStr">
        <is>
          <t>26/06/2026</t>
        </is>
      </c>
      <c r="C37" s="6" t="inlineStr">
        <is>
          <t>VARIOS</t>
        </is>
      </c>
      <c r="D37" s="6" t="inlineStr">
        <is>
          <t>DM BRICO SL</t>
        </is>
      </c>
      <c r="E37" s="4" t="n">
        <v>218.18</v>
      </c>
      <c r="F37" s="6" t="n"/>
    </row>
    <row r="38">
      <c r="A38" s="6" t="inlineStr">
        <is>
          <t>1.754,00</t>
        </is>
      </c>
      <c r="B38" s="6" t="inlineStr">
        <is>
          <t>26/06/2026</t>
        </is>
      </c>
      <c r="C38" s="6" t="inlineStr">
        <is>
          <t>FOCOS LUZ</t>
        </is>
      </c>
      <c r="D38" s="6" t="inlineStr">
        <is>
          <t>LEROY MERLIN ESPAÑA SL</t>
        </is>
      </c>
      <c r="E38" s="4" t="n">
        <v>66.06999999999999</v>
      </c>
      <c r="F38" s="6" t="n"/>
    </row>
    <row r="39">
      <c r="A39" s="6" t="inlineStr">
        <is>
          <t>1.753,00</t>
        </is>
      </c>
      <c r="B39" s="6" t="inlineStr">
        <is>
          <t>26/06/2026</t>
        </is>
      </c>
      <c r="C39" s="6" t="inlineStr">
        <is>
          <t>PH REDUCTOR</t>
        </is>
      </c>
      <c r="D39" s="6" t="inlineStr">
        <is>
          <t>LEROY MERLIN ESPAÑA SL</t>
        </is>
      </c>
      <c r="E39" s="4" t="n">
        <v>19.48</v>
      </c>
      <c r="F39" s="6" t="n"/>
    </row>
    <row r="40">
      <c r="A40" s="6" t="inlineStr">
        <is>
          <t>1.752,00</t>
        </is>
      </c>
      <c r="B40" s="6" t="inlineStr">
        <is>
          <t>26/06/2026</t>
        </is>
      </c>
      <c r="C40" s="6" t="inlineStr">
        <is>
          <t>RUEDAS</t>
        </is>
      </c>
      <c r="D40" s="6" t="inlineStr">
        <is>
          <t>FERRELDA SL</t>
        </is>
      </c>
      <c r="E40" s="4" t="n">
        <v>20.38</v>
      </c>
      <c r="F40" s="6" t="n"/>
    </row>
    <row r="41">
      <c r="A41" s="6" t="inlineStr">
        <is>
          <t>1.751,00</t>
        </is>
      </c>
      <c r="B41" s="6" t="inlineStr">
        <is>
          <t>26/06/2026</t>
        </is>
      </c>
      <c r="C41" s="6" t="inlineStr">
        <is>
          <t>ROPA LABORAL / BERMUDAS</t>
        </is>
      </c>
      <c r="D41" s="6" t="inlineStr">
        <is>
          <t>FORMATO DIGITAL ACTIVIDADES PUBLICITARIAS SOCIEDAD LIMITADA.</t>
        </is>
      </c>
      <c r="E41" s="4" t="n">
        <v>142.6</v>
      </c>
      <c r="F41" s="6" t="n"/>
    </row>
    <row r="42">
      <c r="A42" s="6" t="inlineStr">
        <is>
          <t>1.750,00</t>
        </is>
      </c>
      <c r="B42" s="6" t="inlineStr">
        <is>
          <t>25/06/2026</t>
        </is>
      </c>
      <c r="C42" s="6" t="inlineStr">
        <is>
          <t>COLCHA</t>
        </is>
      </c>
      <c r="D42" s="6" t="inlineStr">
        <is>
          <t>AMAZON EU SARL LUXEMBURGO</t>
        </is>
      </c>
      <c r="E42" s="4" t="n">
        <v>50.4</v>
      </c>
      <c r="F42" s="6" t="n"/>
    </row>
    <row r="43">
      <c r="A43" s="6" t="inlineStr">
        <is>
          <t>1.749,00</t>
        </is>
      </c>
      <c r="B43" s="6" t="inlineStr">
        <is>
          <t>25/06/2026</t>
        </is>
      </c>
      <c r="C43" s="6" t="inlineStr">
        <is>
          <t>COMPRA AMAZON</t>
        </is>
      </c>
      <c r="D43" s="6" t="inlineStr">
        <is>
          <t>AMAZON EU SARL SUCURSAL EN ESPAÑA.</t>
        </is>
      </c>
      <c r="E43" s="4" t="n">
        <v>28.92</v>
      </c>
      <c r="F43" s="6" t="n"/>
    </row>
    <row r="44">
      <c r="A44" s="6" t="inlineStr">
        <is>
          <t>1.748,00</t>
        </is>
      </c>
      <c r="B44" s="6" t="inlineStr">
        <is>
          <t>25/06/2026</t>
        </is>
      </c>
      <c r="C44" s="6" t="inlineStr">
        <is>
          <t>FUNDA JARDIN</t>
        </is>
      </c>
      <c r="D44" s="6" t="inlineStr">
        <is>
          <t>AMAZON EU SARL LUXEMBURGO</t>
        </is>
      </c>
      <c r="E44" s="4" t="n">
        <v>53.71</v>
      </c>
      <c r="F44" s="6" t="n"/>
    </row>
    <row r="45">
      <c r="A45" s="6" t="inlineStr">
        <is>
          <t>1.747,00</t>
        </is>
      </c>
      <c r="B45" s="6" t="inlineStr">
        <is>
          <t>25/06/2026</t>
        </is>
      </c>
      <c r="C45" s="6" t="inlineStr">
        <is>
          <t>PAGO TJ AMAZON</t>
        </is>
      </c>
      <c r="D45" s="6" t="inlineStr">
        <is>
          <t>AMAZON EU SARL LUXEMBURGO</t>
        </is>
      </c>
      <c r="E45" s="4" t="n">
        <v>40.25</v>
      </c>
      <c r="F45" s="6" t="n"/>
    </row>
    <row r="46">
      <c r="A46" s="6" t="inlineStr">
        <is>
          <t>1.746,00</t>
        </is>
      </c>
      <c r="B46" s="6" t="inlineStr">
        <is>
          <t>25/06/2026</t>
        </is>
      </c>
      <c r="C46" s="6" t="inlineStr">
        <is>
          <t>PAGO TJ AMAZON</t>
        </is>
      </c>
      <c r="D46" s="6" t="inlineStr">
        <is>
          <t>AMAZON EU SARL LUXEMBURGO</t>
        </is>
      </c>
      <c r="E46" s="4" t="n">
        <v>24.29</v>
      </c>
      <c r="F46" s="6" t="n"/>
    </row>
    <row r="47">
      <c r="A47" s="6" t="inlineStr">
        <is>
          <t>1.744,00</t>
        </is>
      </c>
      <c r="B47" s="6" t="inlineStr">
        <is>
          <t>23/06/2026</t>
        </is>
      </c>
      <c r="C47" s="6" t="inlineStr">
        <is>
          <t>HORAS JARDINERIA</t>
        </is>
      </c>
      <c r="D47" s="6" t="inlineStr">
        <is>
          <t>MARCOS GALIANO POVEDA</t>
        </is>
      </c>
      <c r="E47" s="4" t="n">
        <v>178</v>
      </c>
      <c r="F47" s="6" t="n"/>
    </row>
    <row r="48">
      <c r="A48" s="6" t="inlineStr">
        <is>
          <t>1.730,00</t>
        </is>
      </c>
      <c r="B48" s="6" t="inlineStr">
        <is>
          <t>18/06/2026</t>
        </is>
      </c>
      <c r="C48" s="6" t="inlineStr">
        <is>
          <t>ARRANCADOR COCHE</t>
        </is>
      </c>
      <c r="D48" s="6" t="inlineStr">
        <is>
          <t>AMAZON EU SARL LUXEMBURGO</t>
        </is>
      </c>
      <c r="E48" s="4" t="n">
        <v>57.84</v>
      </c>
      <c r="F48" s="6" t="n"/>
    </row>
    <row r="49">
      <c r="A49" s="6" t="inlineStr">
        <is>
          <t>1.728,00</t>
        </is>
      </c>
      <c r="B49" s="6" t="inlineStr">
        <is>
          <t>18/06/2026</t>
        </is>
      </c>
      <c r="C49" s="6" t="inlineStr">
        <is>
          <t>VARIOS</t>
        </is>
      </c>
      <c r="D49" s="6" t="inlineStr">
        <is>
          <t>LEROY MERLIN ESPAÑA SL</t>
        </is>
      </c>
      <c r="E49" s="4" t="n">
        <v>27.26</v>
      </c>
      <c r="F49" s="6" t="n"/>
    </row>
    <row r="50">
      <c r="A50" s="6" t="inlineStr">
        <is>
          <t>1.726,00</t>
        </is>
      </c>
      <c r="B50" s="6" t="inlineStr">
        <is>
          <t>16/06/2026</t>
        </is>
      </c>
      <c r="C50" s="6" t="inlineStr">
        <is>
          <t>CALZADO LABORAL</t>
        </is>
      </c>
      <c r="D50" s="6" t="inlineStr">
        <is>
          <t>BRICOLAJE BRICOMAN SLU</t>
        </is>
      </c>
      <c r="E50" s="4" t="n">
        <v>79.67</v>
      </c>
      <c r="F50" s="6" t="n"/>
    </row>
    <row r="51">
      <c r="A51" s="6" t="inlineStr">
        <is>
          <t>1.722,00</t>
        </is>
      </c>
      <c r="B51" s="6" t="inlineStr">
        <is>
          <t>16/06/2026</t>
        </is>
      </c>
      <c r="C51" s="6" t="inlineStr">
        <is>
          <t>HOLDED MAYO</t>
        </is>
      </c>
      <c r="D51" s="6" t="inlineStr">
        <is>
          <t>HOLDED TECHNOLOGIES SL.</t>
        </is>
      </c>
      <c r="E51" s="4" t="n">
        <v>59</v>
      </c>
      <c r="F51" s="6" t="n"/>
    </row>
    <row r="52">
      <c r="A52" s="6" t="inlineStr">
        <is>
          <t>1.721,00</t>
        </is>
      </c>
      <c r="B52" s="6" t="inlineStr">
        <is>
          <t>16/06/2026</t>
        </is>
      </c>
      <c r="C52" s="6" t="inlineStr">
        <is>
          <t>ASESORÍA MAYO</t>
        </is>
      </c>
      <c r="D52" s="6" t="inlineStr"/>
      <c r="E52" s="4" t="n">
        <v>260</v>
      </c>
      <c r="F52" s="6" t="n"/>
    </row>
    <row r="53">
      <c r="A53" s="6" t="inlineStr">
        <is>
          <t>1.720,00</t>
        </is>
      </c>
      <c r="B53" s="6" t="inlineStr">
        <is>
          <t>16/06/2026</t>
        </is>
      </c>
      <c r="C53" s="6" t="inlineStr">
        <is>
          <t>MATERIAL</t>
        </is>
      </c>
      <c r="D53" s="6" t="inlineStr">
        <is>
          <t>LEROY MERLIN ESPAÑA SL</t>
        </is>
      </c>
      <c r="E53" s="4" t="n">
        <v>15.19</v>
      </c>
      <c r="F53" s="6" t="n"/>
    </row>
    <row r="54">
      <c r="A54" s="6" t="inlineStr">
        <is>
          <t>1.716,00</t>
        </is>
      </c>
      <c r="B54" s="6" t="inlineStr">
        <is>
          <t>16/06/2026</t>
        </is>
      </c>
      <c r="C54" s="6" t="inlineStr">
        <is>
          <t>NATURGY MAYO</t>
        </is>
      </c>
      <c r="D54" s="6" t="inlineStr"/>
      <c r="E54" s="4" t="n">
        <v>25.3</v>
      </c>
      <c r="F54" s="6" t="n"/>
    </row>
    <row r="55">
      <c r="A55" s="6" t="inlineStr">
        <is>
          <t>1.708,00</t>
        </is>
      </c>
      <c r="B55" s="6" t="inlineStr">
        <is>
          <t>16/06/2026</t>
        </is>
      </c>
      <c r="C55" s="6" t="inlineStr">
        <is>
          <t>MAQUINA MULTIHERRAMIENTA</t>
        </is>
      </c>
      <c r="D55" s="6" t="inlineStr">
        <is>
          <t>DETECTALIA EUROPE SL</t>
        </is>
      </c>
      <c r="E55" s="4" t="n">
        <v>3304.96</v>
      </c>
      <c r="F55" s="6" t="n"/>
    </row>
    <row r="56">
      <c r="A56" s="6" t="inlineStr">
        <is>
          <t>1.706,00</t>
        </is>
      </c>
      <c r="B56" s="6" t="inlineStr">
        <is>
          <t>16/06/2026</t>
        </is>
      </c>
      <c r="C56" s="6" t="inlineStr">
        <is>
          <t>ASESORAMIENTO CONTABLE FISCAL JUNIO</t>
        </is>
      </c>
      <c r="D56" s="6" t="inlineStr"/>
      <c r="E56" s="4" t="n">
        <v>360.15</v>
      </c>
      <c r="F56" s="6" t="n"/>
    </row>
    <row r="57">
      <c r="A57" s="6" t="inlineStr">
        <is>
          <t>1.699,00</t>
        </is>
      </c>
      <c r="B57" s="6" t="inlineStr">
        <is>
          <t>09/06/2026</t>
        </is>
      </c>
      <c r="C57" s="6" t="inlineStr">
        <is>
          <t>REPOSTAJE</t>
        </is>
      </c>
      <c r="D57" s="6" t="inlineStr">
        <is>
          <t>FLASH-CAR LEVANTE SERVICIOS SL</t>
        </is>
      </c>
      <c r="E57" s="4" t="n">
        <v>8.26</v>
      </c>
      <c r="F57" s="6" t="n"/>
    </row>
    <row r="58">
      <c r="A58" s="6" t="inlineStr">
        <is>
          <t>1.698,00</t>
        </is>
      </c>
      <c r="B58" s="6" t="inlineStr">
        <is>
          <t>09/06/2026</t>
        </is>
      </c>
      <c r="C58" s="6" t="inlineStr">
        <is>
          <t>TAPON LATON</t>
        </is>
      </c>
      <c r="D58" s="6" t="inlineStr">
        <is>
          <t>ROSALIA MARTINEZ RUIZ</t>
        </is>
      </c>
      <c r="E58" s="4" t="n">
        <v>1.69</v>
      </c>
      <c r="F58" s="6" t="n"/>
    </row>
    <row r="59">
      <c r="A59" s="6" t="inlineStr">
        <is>
          <t>1.693,00</t>
        </is>
      </c>
      <c r="B59" s="6" t="inlineStr">
        <is>
          <t>09/06/2026</t>
        </is>
      </c>
      <c r="C59" s="6" t="inlineStr">
        <is>
          <t>REPOSTAJE</t>
        </is>
      </c>
      <c r="D59" s="6" t="inlineStr">
        <is>
          <t>E.S. PINOSO S.L.</t>
        </is>
      </c>
      <c r="E59" s="4" t="n">
        <v>82.22</v>
      </c>
      <c r="F59" s="6" t="n"/>
    </row>
    <row r="60">
      <c r="A60" s="6" t="inlineStr">
        <is>
          <t>1.692,00</t>
        </is>
      </c>
      <c r="B60" s="6" t="inlineStr">
        <is>
          <t>09/06/2026</t>
        </is>
      </c>
      <c r="C60" s="6" t="inlineStr">
        <is>
          <t>ROPA LABORAL</t>
        </is>
      </c>
      <c r="D60" s="6" t="inlineStr">
        <is>
          <t>CHINAWIN IBERICA SL</t>
        </is>
      </c>
      <c r="E60" s="4" t="n">
        <v>46.28</v>
      </c>
      <c r="F60" s="6" t="n"/>
    </row>
    <row r="61">
      <c r="A61" s="6" t="inlineStr">
        <is>
          <t>1.685,00</t>
        </is>
      </c>
      <c r="B61" s="6" t="inlineStr">
        <is>
          <t>09/06/2026</t>
        </is>
      </c>
      <c r="C61" s="6" t="inlineStr">
        <is>
          <t>REPOSTAJE</t>
        </is>
      </c>
      <c r="D61" s="6" t="inlineStr">
        <is>
          <t>REPSOL SOLUCIONES ENERGETICAS SA.</t>
        </is>
      </c>
      <c r="E61" s="4" t="n">
        <v>55.23</v>
      </c>
      <c r="F61" s="6" t="n"/>
    </row>
    <row r="62">
      <c r="A62" s="6" t="inlineStr">
        <is>
          <t>1.681,00</t>
        </is>
      </c>
      <c r="B62" s="6" t="inlineStr">
        <is>
          <t>09/06/2026</t>
        </is>
      </c>
      <c r="C62" s="6" t="inlineStr">
        <is>
          <t>ALQUILER NAVE JUNIO</t>
        </is>
      </c>
      <c r="D62" s="6" t="inlineStr">
        <is>
          <t>PINKY VELVET INTERNATIONAL SL</t>
        </is>
      </c>
      <c r="E62" s="4" t="n">
        <v>350</v>
      </c>
      <c r="F62" s="6" t="n"/>
    </row>
    <row r="63">
      <c r="A63" s="6" t="inlineStr">
        <is>
          <t>1.674,00</t>
        </is>
      </c>
      <c r="B63" s="6" t="inlineStr">
        <is>
          <t>09/06/2026</t>
        </is>
      </c>
      <c r="C63" s="6" t="inlineStr">
        <is>
          <t>CONECTA 3 - MAYO</t>
        </is>
      </c>
      <c r="D63" s="6" t="inlineStr"/>
      <c r="E63" s="4" t="n">
        <v>34.53</v>
      </c>
      <c r="F63" s="6" t="n"/>
    </row>
    <row r="64">
      <c r="A64" s="6" t="inlineStr">
        <is>
          <t>1.673,00</t>
        </is>
      </c>
      <c r="B64" s="6" t="inlineStr">
        <is>
          <t>09/06/2026</t>
        </is>
      </c>
      <c r="C64" s="6" t="inlineStr">
        <is>
          <t>TAPA POROS HIERRO GALVANIZADO</t>
        </is>
      </c>
      <c r="D64" s="6" t="inlineStr">
        <is>
          <t>SUMINISTROS DOMINGUEZ AGUILERA ELDA SL.</t>
        </is>
      </c>
      <c r="E64" s="4" t="n">
        <v>17</v>
      </c>
      <c r="F64" s="6" t="n"/>
    </row>
    <row r="65">
      <c r="A65" s="6" t="inlineStr">
        <is>
          <t>1.667,00</t>
        </is>
      </c>
      <c r="B65" s="6" t="inlineStr">
        <is>
          <t>09/06/2026</t>
        </is>
      </c>
      <c r="C65" s="6" t="inlineStr">
        <is>
          <t>ARANDELAS</t>
        </is>
      </c>
      <c r="D65" s="6" t="inlineStr">
        <is>
          <t>HIJOS DE JOSE BUSQUIER SL</t>
        </is>
      </c>
      <c r="E65" s="4" t="n">
        <v>10.8</v>
      </c>
      <c r="F65" s="6" t="n"/>
    </row>
    <row r="66">
      <c r="A66" s="6" t="inlineStr">
        <is>
          <t>1.654,00</t>
        </is>
      </c>
      <c r="B66" s="6" t="inlineStr">
        <is>
          <t>04/06/2026</t>
        </is>
      </c>
      <c r="C66" s="6" t="inlineStr">
        <is>
          <t>PINTURA</t>
        </is>
      </c>
      <c r="D66" s="6" t="inlineStr">
        <is>
          <t>PINTURAS IDELLA SL.</t>
        </is>
      </c>
      <c r="E66" s="4" t="n">
        <v>140.21</v>
      </c>
      <c r="F66" s="6" t="n"/>
    </row>
    <row r="67">
      <c r="A67" s="6" t="inlineStr">
        <is>
          <t>1.648,00</t>
        </is>
      </c>
      <c r="B67" s="6" t="inlineStr">
        <is>
          <t>03/06/2026</t>
        </is>
      </c>
      <c r="C67" s="6" t="inlineStr">
        <is>
          <t>PLENOIL MAYO</t>
        </is>
      </c>
      <c r="D67" s="6" t="inlineStr">
        <is>
          <t>PLENOIL SL.</t>
        </is>
      </c>
      <c r="E67" s="4" t="n">
        <v>1764.79</v>
      </c>
      <c r="F67" s="6" t="n"/>
    </row>
    <row r="68">
      <c r="A68" s="6" t="inlineStr">
        <is>
          <t>1.646,00</t>
        </is>
      </c>
      <c r="B68" s="6" t="inlineStr">
        <is>
          <t>29/05/2026</t>
        </is>
      </c>
      <c r="C68" s="6" t="inlineStr">
        <is>
          <t>ASESORAMIENTO LABORAL ABRIL</t>
        </is>
      </c>
      <c r="D68" s="6" t="inlineStr"/>
      <c r="E68" s="4" t="n">
        <v>260</v>
      </c>
      <c r="F68" s="6" t="n"/>
    </row>
    <row r="69">
      <c r="A69" s="6" t="inlineStr">
        <is>
          <t>1.645,00</t>
        </is>
      </c>
      <c r="B69" s="6" t="inlineStr">
        <is>
          <t>29/05/2026</t>
        </is>
      </c>
      <c r="C69" s="6" t="inlineStr">
        <is>
          <t>MALLA GALLINERO</t>
        </is>
      </c>
      <c r="D69" s="6" t="inlineStr">
        <is>
          <t>FERRELDA SL</t>
        </is>
      </c>
      <c r="E69" s="4" t="n">
        <v>92.98999999999999</v>
      </c>
      <c r="F69" s="6" t="n"/>
    </row>
    <row r="70">
      <c r="A70" s="6" t="inlineStr">
        <is>
          <t>1.644,00</t>
        </is>
      </c>
      <c r="B70" s="6" t="inlineStr">
        <is>
          <t>29/05/2026</t>
        </is>
      </c>
      <c r="C70" s="6" t="inlineStr">
        <is>
          <t>CLORO PISCINA</t>
        </is>
      </c>
      <c r="D70" s="6" t="inlineStr">
        <is>
          <t>SUMINISTROS DOMINGUEZ AGUILERA ELDA SL.</t>
        </is>
      </c>
      <c r="E70" s="4" t="n">
        <v>18.79</v>
      </c>
      <c r="F70" s="6" t="n"/>
    </row>
    <row r="71">
      <c r="A71" s="6" t="inlineStr">
        <is>
          <t>1.643,00</t>
        </is>
      </c>
      <c r="B71" s="6" t="inlineStr">
        <is>
          <t>28/05/2026</t>
        </is>
      </c>
      <c r="C71" s="6" t="inlineStr">
        <is>
          <t>PRESUPUESTO 623973</t>
        </is>
      </c>
      <c r="D71" s="6" t="inlineStr">
        <is>
          <t>LEROY MERLIN ESPAÑA SL</t>
        </is>
      </c>
      <c r="E71" s="4" t="n">
        <v>313.22</v>
      </c>
      <c r="F71" s="6" t="n"/>
    </row>
    <row r="72">
      <c r="A72" s="6" t="inlineStr">
        <is>
          <t>1.641,00</t>
        </is>
      </c>
      <c r="B72" s="6" t="inlineStr">
        <is>
          <t>27/05/2026</t>
        </is>
      </c>
      <c r="C72" s="6" t="inlineStr">
        <is>
          <t>MATERIAL</t>
        </is>
      </c>
      <c r="D72" s="6" t="inlineStr">
        <is>
          <t>LEROY MERLIN ESPAÑA SL</t>
        </is>
      </c>
      <c r="E72" s="4" t="n">
        <v>43.87</v>
      </c>
      <c r="F72" s="6" t="n"/>
    </row>
    <row r="73">
      <c r="A73" s="6" t="inlineStr">
        <is>
          <t>1.640,00</t>
        </is>
      </c>
      <c r="B73" s="6" t="inlineStr">
        <is>
          <t>27/05/2026</t>
        </is>
      </c>
      <c r="C73" s="6" t="inlineStr">
        <is>
          <t>PINTURA</t>
        </is>
      </c>
      <c r="D73" s="6" t="inlineStr">
        <is>
          <t>PINTURAS IDELLA SL.</t>
        </is>
      </c>
      <c r="E73" s="4" t="n">
        <v>161.32</v>
      </c>
      <c r="F73" s="6" t="n"/>
    </row>
    <row r="74">
      <c r="A74" s="6" t="inlineStr">
        <is>
          <t>1.639,00</t>
        </is>
      </c>
      <c r="B74" s="6" t="inlineStr">
        <is>
          <t>27/05/2026</t>
        </is>
      </c>
      <c r="C74" s="6" t="inlineStr">
        <is>
          <t>MATERIAL OBRA</t>
        </is>
      </c>
      <c r="D74" s="6" t="inlineStr">
        <is>
          <t>LA AVENIDA CERAMICAS SL.</t>
        </is>
      </c>
      <c r="E74" s="4" t="n">
        <v>1096.03</v>
      </c>
      <c r="F74" s="6" t="n"/>
    </row>
    <row r="75">
      <c r="A75" s="6" t="inlineStr">
        <is>
          <t>1.636,00</t>
        </is>
      </c>
      <c r="B75" s="6" t="inlineStr">
        <is>
          <t>27/05/2026</t>
        </is>
      </c>
      <c r="C75" s="6" t="inlineStr">
        <is>
          <t>VARIOS</t>
        </is>
      </c>
      <c r="D75" s="6" t="inlineStr">
        <is>
          <t>CASH LEVANTE SL</t>
        </is>
      </c>
      <c r="E75" s="4" t="n">
        <v>86.34999999999999</v>
      </c>
      <c r="F75" s="6" t="n"/>
    </row>
    <row r="76">
      <c r="A76" s="6" t="inlineStr">
        <is>
          <t>1.634,00</t>
        </is>
      </c>
      <c r="B76" s="6" t="inlineStr">
        <is>
          <t>27/05/2026</t>
        </is>
      </c>
      <c r="C76" s="6" t="inlineStr">
        <is>
          <t>SERVICIO REPARACION</t>
        </is>
      </c>
      <c r="D76" s="6" t="inlineStr">
        <is>
          <t>EVOTEK FUTURE SL.</t>
        </is>
      </c>
      <c r="E76" s="4" t="n">
        <v>78.51000000000001</v>
      </c>
      <c r="F76" s="6" t="n"/>
    </row>
    <row r="77">
      <c r="A77" s="6" t="inlineStr">
        <is>
          <t>1.631,00</t>
        </is>
      </c>
      <c r="B77" s="6" t="inlineStr">
        <is>
          <t>26/05/2026</t>
        </is>
      </c>
      <c r="C77" s="6" t="inlineStr">
        <is>
          <t>IVA NO DEDUCIBLE</t>
        </is>
      </c>
      <c r="D77" s="6" t="inlineStr">
        <is>
          <t>ACTION RETAIL SPAIN SL.</t>
        </is>
      </c>
      <c r="E77" s="4" t="n">
        <v>0.86</v>
      </c>
      <c r="F77" s="6" t="n"/>
    </row>
    <row r="78">
      <c r="A78" s="6" t="inlineStr">
        <is>
          <t>1.630,00</t>
        </is>
      </c>
      <c r="B78" s="6" t="inlineStr">
        <is>
          <t>25/05/2026</t>
        </is>
      </c>
      <c r="C78" s="6" t="inlineStr">
        <is>
          <t>PRESUPUESTO 622168</t>
        </is>
      </c>
      <c r="D78" s="6" t="inlineStr">
        <is>
          <t>LEROY MERLIN ESPAÑA SL</t>
        </is>
      </c>
      <c r="E78" s="4" t="n">
        <v>3981.68</v>
      </c>
      <c r="F78" s="6" t="n"/>
    </row>
    <row r="79">
      <c r="A79" s="6" t="inlineStr">
        <is>
          <t>1.629,00</t>
        </is>
      </c>
      <c r="B79" s="6" t="inlineStr">
        <is>
          <t>25/05/2026</t>
        </is>
      </c>
      <c r="C79" s="6" t="inlineStr">
        <is>
          <t>ASESORAMIENTO</t>
        </is>
      </c>
      <c r="D79" s="6" t="inlineStr"/>
      <c r="E79" s="4" t="n">
        <v>360.15</v>
      </c>
      <c r="F79" s="6" t="n"/>
    </row>
    <row r="80">
      <c r="A80" s="6" t="inlineStr">
        <is>
          <t>1.628,00</t>
        </is>
      </c>
      <c r="B80" s="6" t="inlineStr">
        <is>
          <t>25/05/2026</t>
        </is>
      </c>
      <c r="C80" s="6" t="inlineStr">
        <is>
          <t>VENTOSA VIBRADORA</t>
        </is>
      </c>
      <c r="D80" s="6" t="inlineStr">
        <is>
          <t>DIAMOND-SERVICE PRO TOOLS SL.</t>
        </is>
      </c>
      <c r="E80" s="4" t="n">
        <v>163.64</v>
      </c>
      <c r="F80" s="6" t="n"/>
    </row>
    <row r="81">
      <c r="A81" s="6" t="inlineStr">
        <is>
          <t>1.627,00</t>
        </is>
      </c>
      <c r="B81" s="6" t="inlineStr">
        <is>
          <t>25/05/2026</t>
        </is>
      </c>
      <c r="C81" s="6" t="inlineStr">
        <is>
          <t>INFLADORA</t>
        </is>
      </c>
      <c r="D81" s="6" t="inlineStr">
        <is>
          <t>AMAZON EU SARL LUXEMBURGO</t>
        </is>
      </c>
      <c r="E81" s="4" t="n">
        <v>19.99</v>
      </c>
      <c r="F81" s="6" t="n"/>
    </row>
    <row r="82">
      <c r="A82" s="6" t="inlineStr">
        <is>
          <t>1.626,00</t>
        </is>
      </c>
      <c r="B82" s="6" t="inlineStr">
        <is>
          <t>25/05/2026</t>
        </is>
      </c>
      <c r="C82" s="6" t="inlineStr">
        <is>
          <t>ALMODILLA PULIDO DIAMANTE</t>
        </is>
      </c>
      <c r="D82" s="6" t="inlineStr">
        <is>
          <t>EASTAR SUPER HARD TOOLS SOCIEDAD LIMITADA.</t>
        </is>
      </c>
      <c r="E82" s="4" t="n">
        <v>40.04</v>
      </c>
      <c r="F82" s="6" t="n"/>
    </row>
    <row r="83">
      <c r="A83" s="6" t="inlineStr">
        <is>
          <t>1.625,00</t>
        </is>
      </c>
      <c r="B83" s="6" t="inlineStr">
        <is>
          <t>25/05/2026</t>
        </is>
      </c>
      <c r="C83" s="6" t="inlineStr">
        <is>
          <t>GRIFO</t>
        </is>
      </c>
      <c r="D83" s="6" t="inlineStr">
        <is>
          <t>AMAZON EU SARL LUXEMBURGO</t>
        </is>
      </c>
      <c r="E83" s="4" t="n">
        <v>117.35</v>
      </c>
      <c r="F83" s="6" t="n"/>
    </row>
    <row r="84">
      <c r="A84" s="6" t="inlineStr">
        <is>
          <t>1.624,00</t>
        </is>
      </c>
      <c r="B84" s="6" t="inlineStr">
        <is>
          <t>25/05/2026</t>
        </is>
      </c>
      <c r="C84" s="6" t="inlineStr">
        <is>
          <t>citronela</t>
        </is>
      </c>
      <c r="D84" s="6" t="inlineStr">
        <is>
          <t>AMAZON EU SARL SUCURSAL EN ESPAÑA.</t>
        </is>
      </c>
      <c r="E84" s="4" t="n">
        <v>6.12</v>
      </c>
      <c r="F84" s="6" t="n"/>
    </row>
    <row r="85">
      <c r="A85" s="6" t="inlineStr">
        <is>
          <t>1.623,00</t>
        </is>
      </c>
      <c r="B85" s="6" t="inlineStr">
        <is>
          <t>25/05/2026</t>
        </is>
      </c>
      <c r="C85" s="6" t="inlineStr">
        <is>
          <t>ETIQUETS</t>
        </is>
      </c>
      <c r="D85" s="6" t="inlineStr"/>
      <c r="E85" s="4" t="n">
        <v>8.26</v>
      </c>
      <c r="F85" s="6" t="n"/>
    </row>
    <row r="86">
      <c r="A86" s="6" t="inlineStr">
        <is>
          <t>1.622,00</t>
        </is>
      </c>
      <c r="B86" s="6" t="inlineStr">
        <is>
          <t>25/05/2026</t>
        </is>
      </c>
      <c r="C86" s="6" t="inlineStr">
        <is>
          <t>CANTU acondicionador</t>
        </is>
      </c>
      <c r="D86" s="6" t="inlineStr">
        <is>
          <t>AMAZON EU SARL SUCURSAL EN ESPAÑA.</t>
        </is>
      </c>
      <c r="E86" s="4" t="n">
        <v>4.84</v>
      </c>
      <c r="F86" s="6" t="n"/>
    </row>
    <row r="87">
      <c r="A87" s="6" t="inlineStr">
        <is>
          <t>1.621,00</t>
        </is>
      </c>
      <c r="B87" s="6" t="inlineStr">
        <is>
          <t>25/05/2026</t>
        </is>
      </c>
      <c r="C87" s="6" t="inlineStr">
        <is>
          <t>DISPENSADOR AGUA</t>
        </is>
      </c>
      <c r="D87" s="6" t="inlineStr">
        <is>
          <t>AMAZON EU SARL SUCURSAL EN ESPAÑA.</t>
        </is>
      </c>
      <c r="E87" s="4" t="n">
        <v>8.23</v>
      </c>
      <c r="F87" s="6" t="n"/>
    </row>
    <row r="88">
      <c r="A88" s="6" t="inlineStr">
        <is>
          <t>1.620,00</t>
        </is>
      </c>
      <c r="B88" s="6" t="inlineStr">
        <is>
          <t>25/05/2026</t>
        </is>
      </c>
      <c r="C88" s="6" t="inlineStr">
        <is>
          <t>BOMBILLAS</t>
        </is>
      </c>
      <c r="D88" s="6" t="inlineStr">
        <is>
          <t>AIGOTECH ONSYNK SL</t>
        </is>
      </c>
      <c r="E88" s="4" t="n">
        <v>33.75</v>
      </c>
      <c r="F88" s="6" t="n"/>
    </row>
    <row r="89">
      <c r="A89" s="6" t="inlineStr">
        <is>
          <t>1.619,00</t>
        </is>
      </c>
      <c r="B89" s="6" t="inlineStr">
        <is>
          <t>25/05/2026</t>
        </is>
      </c>
      <c r="C89" s="6" t="inlineStr">
        <is>
          <t>SOPORTE MADERA</t>
        </is>
      </c>
      <c r="D89" s="6" t="inlineStr">
        <is>
          <t>AMAZON EU SARL LUXEMBURGO</t>
        </is>
      </c>
      <c r="E89" s="4" t="n">
        <v>17.97</v>
      </c>
      <c r="F89" s="6" t="n"/>
    </row>
    <row r="90">
      <c r="A90" s="6" t="inlineStr">
        <is>
          <t>1.618,00</t>
        </is>
      </c>
      <c r="B90" s="6" t="inlineStr">
        <is>
          <t>25/05/2026</t>
        </is>
      </c>
      <c r="C90" s="6" t="inlineStr">
        <is>
          <t>ASESORAMIENTO CONTABLE-FISCAL</t>
        </is>
      </c>
      <c r="D90" s="6" t="inlineStr"/>
      <c r="E90" s="4" t="n">
        <v>360.15</v>
      </c>
      <c r="F90" s="6" t="n"/>
    </row>
    <row r="91">
      <c r="A91" s="6" t="inlineStr">
        <is>
          <t>1.617,00</t>
        </is>
      </c>
      <c r="B91" s="6" t="inlineStr">
        <is>
          <t>25/05/2026</t>
        </is>
      </c>
      <c r="C91" s="6" t="inlineStr">
        <is>
          <t>CHALECO</t>
        </is>
      </c>
      <c r="D91" s="6" t="inlineStr">
        <is>
          <t>CHINAWIN IBERICA SL</t>
        </is>
      </c>
      <c r="E91" s="4" t="n">
        <v>70.25</v>
      </c>
      <c r="F91" s="6" t="n"/>
    </row>
    <row r="92">
      <c r="A92" s="6" t="inlineStr">
        <is>
          <t>1.616,00</t>
        </is>
      </c>
      <c r="B92" s="6" t="inlineStr">
        <is>
          <t>21/05/2026</t>
        </is>
      </c>
      <c r="C92" s="6" t="inlineStr">
        <is>
          <t>TUBO GOTEO</t>
        </is>
      </c>
      <c r="D92" s="6" t="inlineStr">
        <is>
          <t>COMERFONSA SL</t>
        </is>
      </c>
      <c r="E92" s="4" t="n">
        <v>70.27</v>
      </c>
      <c r="F92" s="6" t="n"/>
    </row>
    <row r="93">
      <c r="A93" s="6" t="inlineStr">
        <is>
          <t>1.615,00</t>
        </is>
      </c>
      <c r="B93" s="6" t="inlineStr">
        <is>
          <t>21/05/2026</t>
        </is>
      </c>
      <c r="C93" s="6" t="inlineStr">
        <is>
          <t>CEMENTO/RESINA</t>
        </is>
      </c>
      <c r="D93" s="6" t="inlineStr">
        <is>
          <t>HIJOS DE JOSE BUSQUIER SL</t>
        </is>
      </c>
      <c r="E93" s="4" t="n">
        <v>18.53</v>
      </c>
      <c r="F93" s="6" t="n"/>
    </row>
    <row r="94">
      <c r="A94" s="6" t="inlineStr">
        <is>
          <t>1.614,00</t>
        </is>
      </c>
      <c r="B94" s="6" t="inlineStr">
        <is>
          <t>21/05/2026</t>
        </is>
      </c>
      <c r="C94" s="6" t="inlineStr">
        <is>
          <t>VARIOS</t>
        </is>
      </c>
      <c r="D94" s="6" t="inlineStr">
        <is>
          <t>CASH LEVANTE SL</t>
        </is>
      </c>
      <c r="E94" s="4" t="n">
        <v>47.5</v>
      </c>
      <c r="F94" s="6" t="n"/>
    </row>
    <row r="95">
      <c r="A95" s="6" t="inlineStr">
        <is>
          <t>1.613,00</t>
        </is>
      </c>
      <c r="B95" s="6" t="inlineStr">
        <is>
          <t>21/05/2026</t>
        </is>
      </c>
      <c r="C95" s="6" t="inlineStr">
        <is>
          <t>VARIOS</t>
        </is>
      </c>
      <c r="D95" s="6" t="inlineStr">
        <is>
          <t>SUMINISTROS DOMINGUEZ AGUILERA ELDA SL.</t>
        </is>
      </c>
      <c r="E95" s="4" t="n">
        <v>17.96</v>
      </c>
      <c r="F95" s="6" t="n"/>
    </row>
    <row r="96">
      <c r="A96" s="6" t="inlineStr">
        <is>
          <t>1.612,00</t>
        </is>
      </c>
      <c r="B96" s="6" t="inlineStr">
        <is>
          <t>21/05/2026</t>
        </is>
      </c>
      <c r="C96" s="6" t="inlineStr">
        <is>
          <t>MANGUERA</t>
        </is>
      </c>
      <c r="D96" s="6" t="inlineStr">
        <is>
          <t>COMERFONSA SL</t>
        </is>
      </c>
      <c r="E96" s="4" t="n">
        <v>18.99</v>
      </c>
      <c r="F96" s="6" t="n"/>
    </row>
    <row r="97">
      <c r="A97" s="6" t="inlineStr">
        <is>
          <t>1.611,00</t>
        </is>
      </c>
      <c r="B97" s="6" t="inlineStr">
        <is>
          <t>21/05/2026</t>
        </is>
      </c>
      <c r="C97" s="6" t="inlineStr">
        <is>
          <t>VARIOS</t>
        </is>
      </c>
      <c r="D97" s="6" t="inlineStr">
        <is>
          <t>SUMINISTROS DOMINGUEZ AGUILERA ELDA SL.</t>
        </is>
      </c>
      <c r="E97" s="4" t="n">
        <v>69.44</v>
      </c>
      <c r="F97" s="6" t="n"/>
    </row>
    <row r="98">
      <c r="A98" s="6" t="inlineStr">
        <is>
          <t>1.610,00</t>
        </is>
      </c>
      <c r="B98" s="6" t="inlineStr">
        <is>
          <t>21/05/2026</t>
        </is>
      </c>
      <c r="C98" s="6" t="inlineStr">
        <is>
          <t>QUITACEMENTO</t>
        </is>
      </c>
      <c r="D98" s="6" t="inlineStr">
        <is>
          <t>HIJOS DE JOSE BUSQUIER SL</t>
        </is>
      </c>
      <c r="E98" s="4" t="n">
        <v>37.96</v>
      </c>
      <c r="F98" s="6" t="n"/>
    </row>
    <row r="99">
      <c r="A99" s="6" t="inlineStr">
        <is>
          <t>1.602,00</t>
        </is>
      </c>
      <c r="B99" s="6" t="inlineStr">
        <is>
          <t>21/05/2026</t>
        </is>
      </c>
      <c r="C99" s="6" t="inlineStr">
        <is>
          <t>REPOSTAJE</t>
        </is>
      </c>
      <c r="D99" s="6" t="inlineStr">
        <is>
          <t>REPSOL SOLUCIONES ENERGETICAS SA.</t>
        </is>
      </c>
      <c r="E99" s="4" t="n">
        <v>58.13</v>
      </c>
      <c r="F99" s="6" t="n"/>
    </row>
    <row r="100">
      <c r="A100" s="6" t="inlineStr">
        <is>
          <t>1.601,00</t>
        </is>
      </c>
      <c r="B100" s="6" t="inlineStr">
        <is>
          <t>21/05/2026</t>
        </is>
      </c>
      <c r="C100" s="6" t="inlineStr">
        <is>
          <t>REPOSTAJE</t>
        </is>
      </c>
      <c r="D100" s="6" t="inlineStr">
        <is>
          <t>CAMPSA ESTACIONES DE SERVICIO SA</t>
        </is>
      </c>
      <c r="E100" s="4" t="n">
        <v>22.27</v>
      </c>
      <c r="F100" s="6" t="n"/>
    </row>
    <row r="101">
      <c r="A101" s="6" t="inlineStr">
        <is>
          <t>1.593,00</t>
        </is>
      </c>
      <c r="B101" s="6" t="inlineStr">
        <is>
          <t>21/05/2026</t>
        </is>
      </c>
      <c r="C101" s="6" t="inlineStr">
        <is>
          <t>VARIOS</t>
        </is>
      </c>
      <c r="D101" s="6" t="inlineStr">
        <is>
          <t>ACTION RETAIL SPAIN SL.</t>
        </is>
      </c>
      <c r="E101" s="4" t="n">
        <v>4.09</v>
      </c>
      <c r="F101" s="6" t="n"/>
    </row>
    <row r="102">
      <c r="A102" s="6" t="inlineStr">
        <is>
          <t>1.592,00</t>
        </is>
      </c>
      <c r="B102" s="6" t="inlineStr">
        <is>
          <t>19/05/2026</t>
        </is>
      </c>
      <c r="C102" s="6" t="inlineStr">
        <is>
          <t>ALQUILER NAVE MAYO</t>
        </is>
      </c>
      <c r="D102" s="6" t="inlineStr">
        <is>
          <t>PINKY VELVET INTERNATIONAL SL</t>
        </is>
      </c>
      <c r="E102" s="4" t="n">
        <v>350</v>
      </c>
      <c r="F102" s="6" t="n"/>
    </row>
    <row r="103">
      <c r="A103" s="6" t="inlineStr">
        <is>
          <t>1.591,00</t>
        </is>
      </c>
      <c r="B103" s="6" t="inlineStr">
        <is>
          <t>19/05/2026</t>
        </is>
      </c>
      <c r="C103" s="6" t="inlineStr">
        <is>
          <t>AGUA 2026/02</t>
        </is>
      </c>
      <c r="D103" s="6" t="inlineStr">
        <is>
          <t>HIDRAQUA GESTIÓN INTEGRAL DE AGUAS DE LEVANTE SL</t>
        </is>
      </c>
      <c r="E103" s="4" t="n">
        <v>30.65</v>
      </c>
      <c r="F103" s="6" t="n"/>
    </row>
    <row r="104">
      <c r="A104" s="6" t="inlineStr">
        <is>
          <t>1.587,00</t>
        </is>
      </c>
      <c r="B104" s="6" t="inlineStr">
        <is>
          <t>14/05/2026</t>
        </is>
      </c>
      <c r="C104" s="6" t="inlineStr">
        <is>
          <t>CAMBIO NOMBRE RENAULT MEGANE SCENIC</t>
        </is>
      </c>
      <c r="D104" s="6" t="inlineStr">
        <is>
          <t>ACCIONGEST ASEGEST SLP.</t>
        </is>
      </c>
      <c r="E104" s="4" t="n">
        <v>190.16</v>
      </c>
      <c r="F104" s="6" t="n"/>
    </row>
    <row r="105">
      <c r="A105" s="6" t="inlineStr">
        <is>
          <t>1.583,00</t>
        </is>
      </c>
      <c r="B105" s="6" t="inlineStr">
        <is>
          <t>14/05/2026</t>
        </is>
      </c>
      <c r="C105" s="6" t="inlineStr">
        <is>
          <t>REPOSTAJE</t>
        </is>
      </c>
      <c r="D105" s="6" t="inlineStr">
        <is>
          <t>REPSOL SOLUCIONES ENERGETICAS SA.</t>
        </is>
      </c>
      <c r="E105" s="4" t="n">
        <v>68.20999999999999</v>
      </c>
      <c r="F105" s="6" t="n"/>
    </row>
    <row r="106">
      <c r="A106" s="6" t="inlineStr">
        <is>
          <t>1.582,00</t>
        </is>
      </c>
      <c r="B106" s="6" t="inlineStr">
        <is>
          <t>14/05/2026</t>
        </is>
      </c>
      <c r="C106" s="6" t="inlineStr">
        <is>
          <t>MATERIAL</t>
        </is>
      </c>
      <c r="D106" s="6" t="inlineStr">
        <is>
          <t>FERRELDA SL</t>
        </is>
      </c>
      <c r="E106" s="4" t="n">
        <v>49.92</v>
      </c>
      <c r="F106" s="6" t="n"/>
    </row>
    <row r="107">
      <c r="A107" s="6" t="inlineStr">
        <is>
          <t>1.579,00</t>
        </is>
      </c>
      <c r="B107" s="6" t="inlineStr">
        <is>
          <t>14/05/2026</t>
        </is>
      </c>
      <c r="C107" s="6" t="inlineStr">
        <is>
          <t>MATERIAL</t>
        </is>
      </c>
      <c r="D107" s="6" t="inlineStr">
        <is>
          <t>SUMINISTROS DOMINGUEZ AGUILERA ELDA SL.</t>
        </is>
      </c>
      <c r="E107" s="4" t="n">
        <v>16.36</v>
      </c>
      <c r="F107" s="6" t="n"/>
    </row>
    <row r="108">
      <c r="A108" s="6" t="inlineStr">
        <is>
          <t>1.578,00</t>
        </is>
      </c>
      <c r="B108" s="6" t="inlineStr">
        <is>
          <t>14/05/2026</t>
        </is>
      </c>
      <c r="C108" s="6" t="inlineStr">
        <is>
          <t>REPOSTAJE</t>
        </is>
      </c>
      <c r="D108" s="6" t="inlineStr">
        <is>
          <t>GLEM S.L.</t>
        </is>
      </c>
      <c r="E108" s="4" t="n">
        <v>17.2</v>
      </c>
      <c r="F108" s="6" t="n"/>
    </row>
    <row r="109">
      <c r="A109" s="6" t="inlineStr">
        <is>
          <t>1.576,00</t>
        </is>
      </c>
      <c r="B109" s="6" t="inlineStr">
        <is>
          <t>14/05/2026</t>
        </is>
      </c>
      <c r="C109" s="6" t="inlineStr">
        <is>
          <t>FIANZA AHOYADORA</t>
        </is>
      </c>
      <c r="D109" s="6" t="inlineStr">
        <is>
          <t>HIJOS DE JOSE BUSQUIER SL</t>
        </is>
      </c>
      <c r="E109" s="4" t="n">
        <v>247.93</v>
      </c>
      <c r="F109" s="6" t="n"/>
    </row>
    <row r="110">
      <c r="A110" s="6" t="inlineStr">
        <is>
          <t>1.574,00</t>
        </is>
      </c>
      <c r="B110" s="6" t="inlineStr">
        <is>
          <t>14/05/2026</t>
        </is>
      </c>
      <c r="C110" s="6" t="inlineStr">
        <is>
          <t>VARIOS</t>
        </is>
      </c>
      <c r="D110" s="6" t="inlineStr">
        <is>
          <t>DISTRIBUCION QING YONG SL</t>
        </is>
      </c>
      <c r="E110" s="4" t="n">
        <v>8.220000000000001</v>
      </c>
      <c r="F110" s="6" t="n"/>
    </row>
    <row r="111">
      <c r="A111" s="6" t="inlineStr">
        <is>
          <t>1.573,00</t>
        </is>
      </c>
      <c r="B111" s="6" t="inlineStr">
        <is>
          <t>14/05/2026</t>
        </is>
      </c>
      <c r="C111" s="6" t="inlineStr">
        <is>
          <t>ROPA LABORAL PRUEBA</t>
        </is>
      </c>
      <c r="D111" s="6" t="inlineStr">
        <is>
          <t>CHINAWIN IBERICA SL</t>
        </is>
      </c>
      <c r="E111" s="4" t="n">
        <v>59.5</v>
      </c>
      <c r="F111" s="6" t="n"/>
    </row>
    <row r="112">
      <c r="A112" s="6" t="inlineStr">
        <is>
          <t>1.570,00</t>
        </is>
      </c>
      <c r="B112" s="6" t="inlineStr">
        <is>
          <t>13/05/2026</t>
        </is>
      </c>
      <c r="C112" s="6" t="inlineStr">
        <is>
          <t>HOLDED MARZO</t>
        </is>
      </c>
      <c r="D112" s="6" t="inlineStr">
        <is>
          <t>HOLDED TECHNOLOGIES SL.</t>
        </is>
      </c>
      <c r="E112" s="4" t="n">
        <v>59</v>
      </c>
      <c r="F112" s="6" t="n"/>
    </row>
    <row r="113">
      <c r="A113" s="6" t="inlineStr">
        <is>
          <t>1.569,00</t>
        </is>
      </c>
      <c r="B113" s="6" t="inlineStr">
        <is>
          <t>13/05/2026</t>
        </is>
      </c>
      <c r="C113" s="6" t="inlineStr">
        <is>
          <t>HOLDED ABRIL</t>
        </is>
      </c>
      <c r="D113" s="6" t="inlineStr">
        <is>
          <t>HOLDED TECHNOLOGIES SL.</t>
        </is>
      </c>
      <c r="E113" s="4" t="n">
        <v>59</v>
      </c>
      <c r="F113" s="6" t="n"/>
    </row>
    <row r="114">
      <c r="A114" s="6" t="inlineStr">
        <is>
          <t>1.568,00</t>
        </is>
      </c>
      <c r="B114" s="6" t="inlineStr">
        <is>
          <t>13/05/2026</t>
        </is>
      </c>
      <c r="C114" s="6" t="inlineStr">
        <is>
          <t>JAZZTEL ABRIL</t>
        </is>
      </c>
      <c r="D114" s="6" t="inlineStr">
        <is>
          <t>ORANGE ESPAGNE SAU.</t>
        </is>
      </c>
      <c r="E114" s="4" t="n">
        <v>23.93</v>
      </c>
      <c r="F114" s="6" t="n"/>
    </row>
    <row r="115">
      <c r="A115" s="6" t="inlineStr">
        <is>
          <t>1.567,00</t>
        </is>
      </c>
      <c r="B115" s="6" t="inlineStr">
        <is>
          <t>13/05/2026</t>
        </is>
      </c>
      <c r="C115" s="6" t="inlineStr">
        <is>
          <t>CONECTA 3 - MAYO</t>
        </is>
      </c>
      <c r="D115" s="6" t="inlineStr"/>
      <c r="E115" s="4" t="n">
        <v>34.68</v>
      </c>
      <c r="F115" s="6" t="n"/>
    </row>
    <row r="116">
      <c r="A116" s="6" t="inlineStr">
        <is>
          <t>1.566,00</t>
        </is>
      </c>
      <c r="B116" s="6" t="inlineStr">
        <is>
          <t>13/05/2026</t>
        </is>
      </c>
      <c r="C116" s="6" t="inlineStr">
        <is>
          <t>ROPA LABORAL</t>
        </is>
      </c>
      <c r="D116" s="6" t="inlineStr">
        <is>
          <t>Mª CARMEN PRIETO AVELLAN</t>
        </is>
      </c>
      <c r="E116" s="4" t="n">
        <v>65</v>
      </c>
      <c r="F116" s="6" t="n"/>
    </row>
    <row r="117">
      <c r="A117" s="6" t="inlineStr">
        <is>
          <t>1.565,00</t>
        </is>
      </c>
      <c r="B117" s="6" t="inlineStr">
        <is>
          <t>13/05/2026</t>
        </is>
      </c>
      <c r="C117" s="6" t="inlineStr">
        <is>
          <t>NATURGY ABRIL</t>
        </is>
      </c>
      <c r="D117" s="6" t="inlineStr"/>
      <c r="E117" s="4" t="n">
        <v>23.6</v>
      </c>
      <c r="F117" s="6" t="n"/>
    </row>
    <row r="118">
      <c r="A118" s="6" t="inlineStr">
        <is>
          <t>1.564,00</t>
        </is>
      </c>
      <c r="B118" s="6" t="inlineStr">
        <is>
          <t>13/05/2026</t>
        </is>
      </c>
      <c r="C118" s="6" t="inlineStr">
        <is>
          <t>BEBIDA OBRA</t>
        </is>
      </c>
      <c r="D118" s="6" t="inlineStr">
        <is>
          <t>CASH LEVANTE SL</t>
        </is>
      </c>
      <c r="E118" s="4" t="n">
        <v>61.8</v>
      </c>
      <c r="F118" s="6" t="n"/>
    </row>
    <row r="119">
      <c r="A119" s="6" t="inlineStr">
        <is>
          <t>1.559,00</t>
        </is>
      </c>
      <c r="B119" s="6" t="inlineStr">
        <is>
          <t>07/05/2026</t>
        </is>
      </c>
      <c r="C119" s="6" t="inlineStr">
        <is>
          <t>valvula antirretorno de drenaje</t>
        </is>
      </c>
      <c r="D119" s="6" t="inlineStr">
        <is>
          <t>AMAZON EU SARL LUXEMBURGO</t>
        </is>
      </c>
      <c r="E119" s="4" t="n">
        <v>8.59</v>
      </c>
      <c r="F119" s="6" t="n"/>
    </row>
    <row r="120">
      <c r="A120" s="6" t="inlineStr">
        <is>
          <t>1.558,00</t>
        </is>
      </c>
      <c r="B120" s="6" t="inlineStr">
        <is>
          <t>07/05/2026</t>
        </is>
      </c>
      <c r="C120" s="6" t="inlineStr">
        <is>
          <t>camara vigilancia exterior</t>
        </is>
      </c>
      <c r="D120" s="6" t="inlineStr">
        <is>
          <t>AMAZON EU SARL LUXEMBURGO</t>
        </is>
      </c>
      <c r="E120" s="4" t="n">
        <v>150.9</v>
      </c>
      <c r="F120" s="6" t="n"/>
    </row>
    <row r="121">
      <c r="A121" s="6" t="inlineStr">
        <is>
          <t>1.557,00</t>
        </is>
      </c>
      <c r="B121" s="6" t="inlineStr">
        <is>
          <t>07/05/2026</t>
        </is>
      </c>
      <c r="C121" s="6" t="inlineStr">
        <is>
          <t>MARTILLO DENTADO</t>
        </is>
      </c>
      <c r="D121" s="6" t="inlineStr">
        <is>
          <t>AMAZON EU SARL SUCURSAL EN ESPAÑA.</t>
        </is>
      </c>
      <c r="E121" s="4" t="n">
        <v>25.82</v>
      </c>
      <c r="F121" s="6" t="n"/>
    </row>
    <row r="122">
      <c r="A122" s="6" t="inlineStr">
        <is>
          <t>1.556,00</t>
        </is>
      </c>
      <c r="B122" s="6" t="inlineStr">
        <is>
          <t>07/05/2026</t>
        </is>
      </c>
      <c r="C122" s="6" t="inlineStr">
        <is>
          <t>Hunter llave de servicio</t>
        </is>
      </c>
      <c r="D122" s="6" t="inlineStr">
        <is>
          <t>AMAZON EU SARL LUXEMBURGO</t>
        </is>
      </c>
      <c r="E122" s="4" t="n">
        <v>5.99</v>
      </c>
      <c r="F122" s="6" t="n"/>
    </row>
    <row r="123">
      <c r="A123" s="6" t="inlineStr">
        <is>
          <t>1.555,00</t>
        </is>
      </c>
      <c r="B123" s="6" t="inlineStr">
        <is>
          <t>07/05/2026</t>
        </is>
      </c>
      <c r="C123" s="6" t="inlineStr">
        <is>
          <t>extraccion cabezal rociador</t>
        </is>
      </c>
      <c r="D123" s="6" t="inlineStr">
        <is>
          <t>AMAZON EU SARL LUXEMBURGO</t>
        </is>
      </c>
      <c r="E123" s="4" t="n">
        <v>13.67</v>
      </c>
      <c r="F123" s="6" t="n"/>
    </row>
    <row r="124">
      <c r="A124" s="6" t="inlineStr">
        <is>
          <t>1.554,00</t>
        </is>
      </c>
      <c r="B124" s="6" t="inlineStr">
        <is>
          <t>07/05/2026</t>
        </is>
      </c>
      <c r="C124" s="6" t="inlineStr">
        <is>
          <t>DE BUYER PLANCHA MINERAL</t>
        </is>
      </c>
      <c r="D124" s="6" t="inlineStr">
        <is>
          <t>AMAZON EU SARL SUCURSAL EN ESPAÑA.</t>
        </is>
      </c>
      <c r="E124" s="4" t="n">
        <v>42.8</v>
      </c>
      <c r="F124" s="6" t="n"/>
    </row>
    <row r="125">
      <c r="A125" s="6" t="inlineStr">
        <is>
          <t>1.553,00</t>
        </is>
      </c>
      <c r="B125" s="6" t="inlineStr">
        <is>
          <t>07/05/2026</t>
        </is>
      </c>
      <c r="C125" s="6" t="inlineStr">
        <is>
          <t>BANDEJA CABLES</t>
        </is>
      </c>
      <c r="D125" s="6" t="inlineStr">
        <is>
          <t>AMAZON EU SARL LUXEMBURGO</t>
        </is>
      </c>
      <c r="E125" s="4" t="n">
        <v>16.65</v>
      </c>
      <c r="F125" s="6" t="n"/>
    </row>
    <row r="126">
      <c r="A126" s="6" t="inlineStr">
        <is>
          <t>1.549,00</t>
        </is>
      </c>
      <c r="B126" s="6" t="inlineStr">
        <is>
          <t>07/05/2026</t>
        </is>
      </c>
      <c r="C126" s="6" t="inlineStr">
        <is>
          <t>DISCO DIAMANTE</t>
        </is>
      </c>
      <c r="D126" s="6" t="inlineStr">
        <is>
          <t>AMAZON EU SARL SUCURSAL EN ESPAÑA.</t>
        </is>
      </c>
      <c r="E126" s="4" t="n">
        <v>22.96</v>
      </c>
      <c r="F126" s="6" t="n"/>
    </row>
    <row r="127">
      <c r="A127" s="6" t="inlineStr">
        <is>
          <t>1.548,00</t>
        </is>
      </c>
      <c r="B127" s="6" t="inlineStr">
        <is>
          <t>07/05/2026</t>
        </is>
      </c>
      <c r="C127" s="6" t="inlineStr">
        <is>
          <t>SIERRA BOSCH</t>
        </is>
      </c>
      <c r="D127" s="6" t="inlineStr">
        <is>
          <t>AMAZON EU SARL LUXEMBURGO</t>
        </is>
      </c>
      <c r="E127" s="4" t="n">
        <v>31.06</v>
      </c>
      <c r="F127" s="6" t="n"/>
    </row>
    <row r="128">
      <c r="A128" s="6" t="inlineStr">
        <is>
          <t>1.547,00</t>
        </is>
      </c>
      <c r="B128" s="6" t="inlineStr">
        <is>
          <t>07/05/2026</t>
        </is>
      </c>
      <c r="C128" s="6" t="inlineStr">
        <is>
          <t>SERRUCHO ELECTRICO BOSCH</t>
        </is>
      </c>
      <c r="D128" s="6" t="inlineStr">
        <is>
          <t>AMAZON EU SARL SUCURSAL EN ESPAÑA.</t>
        </is>
      </c>
      <c r="E128" s="4" t="n">
        <v>494.01</v>
      </c>
      <c r="F128" s="6" t="n"/>
    </row>
    <row r="129">
      <c r="A129" s="6" t="inlineStr">
        <is>
          <t>1.544,00</t>
        </is>
      </c>
      <c r="B129" s="6" t="inlineStr">
        <is>
          <t>06/05/2026</t>
        </is>
      </c>
      <c r="C129" s="6" t="inlineStr">
        <is>
          <t>REPOSTAJE</t>
        </is>
      </c>
      <c r="D129" s="6" t="inlineStr">
        <is>
          <t>EUROBAMAS SL</t>
        </is>
      </c>
      <c r="E129" s="4" t="n">
        <v>57.85</v>
      </c>
      <c r="F129" s="6" t="n"/>
    </row>
    <row r="130">
      <c r="A130" s="6" t="inlineStr">
        <is>
          <t>1.543,00</t>
        </is>
      </c>
      <c r="B130" s="6" t="inlineStr">
        <is>
          <t>06/05/2026</t>
        </is>
      </c>
      <c r="C130" s="6" t="inlineStr">
        <is>
          <t>REPOSTAJE</t>
        </is>
      </c>
      <c r="D130" s="6" t="inlineStr">
        <is>
          <t>EUROBAMAS SL</t>
        </is>
      </c>
      <c r="E130" s="4" t="n">
        <v>33.73</v>
      </c>
      <c r="F130" s="6" t="n"/>
    </row>
    <row r="131">
      <c r="A131" s="6" t="inlineStr">
        <is>
          <t>1.542,00</t>
        </is>
      </c>
      <c r="B131" s="6" t="inlineStr">
        <is>
          <t>06/05/2026</t>
        </is>
      </c>
      <c r="C131" s="6" t="inlineStr">
        <is>
          <t>MATERIAL</t>
        </is>
      </c>
      <c r="D131" s="6" t="inlineStr">
        <is>
          <t>LEROY MERLIN ESPAÑA SL</t>
        </is>
      </c>
      <c r="E131" s="4" t="n">
        <v>89.83</v>
      </c>
      <c r="F131" s="6" t="n"/>
    </row>
    <row r="132">
      <c r="A132" s="6" t="inlineStr">
        <is>
          <t>1.540,00</t>
        </is>
      </c>
      <c r="B132" s="6" t="inlineStr">
        <is>
          <t>06/05/2026</t>
        </is>
      </c>
      <c r="C132" s="6" t="inlineStr">
        <is>
          <t>RADIAL ANGULAR</t>
        </is>
      </c>
      <c r="D132" s="6" t="inlineStr">
        <is>
          <t>WURTH ESPAÑA SA</t>
        </is>
      </c>
      <c r="E132" s="4" t="n">
        <v>511.2</v>
      </c>
      <c r="F132" s="6" t="n"/>
    </row>
    <row r="133">
      <c r="A133" s="6" t="inlineStr">
        <is>
          <t>1.535,00</t>
        </is>
      </c>
      <c r="B133" s="6" t="inlineStr">
        <is>
          <t>06/05/2026</t>
        </is>
      </c>
      <c r="C133" s="6" t="inlineStr">
        <is>
          <t>REPOSTAJE</t>
        </is>
      </c>
      <c r="D133" s="6" t="inlineStr">
        <is>
          <t>EUROBAMAS SL</t>
        </is>
      </c>
      <c r="E133" s="4" t="n">
        <v>76.16</v>
      </c>
      <c r="F133" s="6" t="n"/>
    </row>
    <row r="134">
      <c r="A134" s="6" t="inlineStr">
        <is>
          <t>1.523,00</t>
        </is>
      </c>
      <c r="B134" s="6" t="inlineStr">
        <is>
          <t>05/05/2026</t>
        </is>
      </c>
      <c r="C134" s="6" t="inlineStr">
        <is>
          <t>COMPRA IKEA</t>
        </is>
      </c>
      <c r="D134" s="6" t="inlineStr">
        <is>
          <t>IKEA IBERICA SAU</t>
        </is>
      </c>
      <c r="E134" s="4" t="n">
        <v>52.03</v>
      </c>
      <c r="F134" s="6" t="n"/>
    </row>
    <row r="135">
      <c r="A135" s="6" t="inlineStr">
        <is>
          <t>1.517,00</t>
        </is>
      </c>
      <c r="B135" s="6" t="inlineStr">
        <is>
          <t>05/05/2026</t>
        </is>
      </c>
      <c r="C135" s="6" t="inlineStr">
        <is>
          <t>PLENOIL ABRIL</t>
        </is>
      </c>
      <c r="D135" s="6" t="inlineStr">
        <is>
          <t>PLENOIL SL.</t>
        </is>
      </c>
      <c r="E135" s="4" t="n">
        <v>1729.15</v>
      </c>
      <c r="F135" s="6" t="n"/>
    </row>
    <row r="136">
      <c r="A136" s="6" t="inlineStr">
        <is>
          <t>1.516,00</t>
        </is>
      </c>
      <c r="B136" s="6" t="inlineStr">
        <is>
          <t>05/05/2026</t>
        </is>
      </c>
      <c r="C136" s="6" t="inlineStr">
        <is>
          <t>ALQUILER NAVE ABRIL</t>
        </is>
      </c>
      <c r="D136" s="6" t="inlineStr">
        <is>
          <t>PINKY VELVET INTERNATIONAL SL</t>
        </is>
      </c>
      <c r="E136" s="4" t="n">
        <v>350</v>
      </c>
      <c r="F136" s="6" t="n"/>
    </row>
    <row r="137">
      <c r="A137" s="6" t="inlineStr">
        <is>
          <t>1.515,00</t>
        </is>
      </c>
      <c r="B137" s="6" t="inlineStr">
        <is>
          <t>05/05/2026</t>
        </is>
      </c>
      <c r="C137" s="6" t="inlineStr">
        <is>
          <t>ROPA LABORAL</t>
        </is>
      </c>
      <c r="D137" s="6" t="inlineStr">
        <is>
          <t>Mª CARMEN PRIETO AVELLAN</t>
        </is>
      </c>
      <c r="E137" s="4" t="n">
        <v>833.5</v>
      </c>
      <c r="F137" s="6" t="n"/>
    </row>
    <row r="138">
      <c r="A138" s="6" t="inlineStr">
        <is>
          <t>1.514,00</t>
        </is>
      </c>
      <c r="B138" s="6" t="inlineStr">
        <is>
          <t>30/04/2026</t>
        </is>
      </c>
      <c r="C138" s="6" t="inlineStr">
        <is>
          <t>COMPRAVENTA PARTICIPACIONES SOCIALES</t>
        </is>
      </c>
      <c r="D138" s="6" t="inlineStr">
        <is>
          <t>ALEJANDRO PEREZ MARTINEZ</t>
        </is>
      </c>
      <c r="E138" s="4" t="n">
        <v>381.09</v>
      </c>
      <c r="F138" s="6" t="n"/>
    </row>
    <row r="139">
      <c r="A139" s="6" t="inlineStr">
        <is>
          <t>1.513,00</t>
        </is>
      </c>
      <c r="B139" s="6" t="inlineStr">
        <is>
          <t>30/04/2026</t>
        </is>
      </c>
      <c r="C139" s="6" t="inlineStr">
        <is>
          <t>REGISTRO MERCANTIL COMPRA EMPRESA</t>
        </is>
      </c>
      <c r="D139" s="6" t="inlineStr">
        <is>
          <t>REGISTRO MERCANTIL DE ALICANTE, S.C.</t>
        </is>
      </c>
      <c r="E139" s="4" t="n">
        <v>97.81</v>
      </c>
      <c r="F139" s="6" t="n"/>
    </row>
    <row r="140">
      <c r="A140" s="6" t="inlineStr">
        <is>
          <t>1.512,00</t>
        </is>
      </c>
      <c r="B140" s="6" t="inlineStr">
        <is>
          <t>30/04/2026</t>
        </is>
      </c>
      <c r="C140" s="6" t="inlineStr">
        <is>
          <t>PUBLICACION BORME</t>
        </is>
      </c>
      <c r="D140" s="6" t="inlineStr"/>
      <c r="E140" s="4" t="n">
        <v>28.72</v>
      </c>
      <c r="F140" s="6" t="n"/>
    </row>
    <row r="141">
      <c r="A141" s="6" t="inlineStr">
        <is>
          <t>1.511,00</t>
        </is>
      </c>
      <c r="B141" s="6" t="inlineStr">
        <is>
          <t>29/04/2026</t>
        </is>
      </c>
      <c r="C141" s="6" t="inlineStr">
        <is>
          <t>COMPRA AMAZON</t>
        </is>
      </c>
      <c r="D141" s="6" t="inlineStr">
        <is>
          <t>AMAZON EU SARL LUXEMBURGO</t>
        </is>
      </c>
      <c r="E141" s="4" t="n">
        <v>80.08</v>
      </c>
      <c r="F141" s="6" t="n"/>
    </row>
    <row r="142">
      <c r="A142" s="6" t="inlineStr">
        <is>
          <t>1.510,00</t>
        </is>
      </c>
      <c r="B142" s="6" t="inlineStr">
        <is>
          <t>30/04/2026</t>
        </is>
      </c>
      <c r="C142" s="6" t="inlineStr">
        <is>
          <t>CLAVADORA AUTOMATICA INALAMBRICA</t>
        </is>
      </c>
      <c r="D142" s="6" t="inlineStr">
        <is>
          <t>JG PROFESSIONAL TOOLS SL</t>
        </is>
      </c>
      <c r="E142" s="4" t="n">
        <v>533.01</v>
      </c>
      <c r="F142" s="6" t="n"/>
    </row>
    <row r="143">
      <c r="A143" s="6" t="inlineStr">
        <is>
          <t>1.509,00</t>
        </is>
      </c>
      <c r="B143" s="6" t="inlineStr">
        <is>
          <t>30/04/2026</t>
        </is>
      </c>
      <c r="C143" s="6" t="inlineStr">
        <is>
          <t>5000 CLAVOS GALVANIZADOS</t>
        </is>
      </c>
      <c r="D143" s="6" t="inlineStr">
        <is>
          <t>AMAZON EU SARL LUXEMBURGO</t>
        </is>
      </c>
      <c r="E143" s="4" t="n">
        <v>12.39</v>
      </c>
      <c r="F143" s="6" t="n"/>
    </row>
    <row r="144">
      <c r="A144" s="6" t="inlineStr">
        <is>
          <t>1.507,00</t>
        </is>
      </c>
      <c r="B144" s="6" t="inlineStr">
        <is>
          <t>29/04/2026</t>
        </is>
      </c>
      <c r="C144" s="6" t="inlineStr">
        <is>
          <t>REPOSTAJE</t>
        </is>
      </c>
      <c r="D144" s="6" t="inlineStr">
        <is>
          <t>EUROBAMAS SL</t>
        </is>
      </c>
      <c r="E144" s="4" t="n">
        <v>60.33</v>
      </c>
      <c r="F144" s="6" t="n"/>
    </row>
    <row r="145">
      <c r="A145" s="6" t="inlineStr">
        <is>
          <t>1.506,00</t>
        </is>
      </c>
      <c r="B145" s="6" t="inlineStr">
        <is>
          <t>29/04/2026</t>
        </is>
      </c>
      <c r="C145" s="6" t="inlineStr">
        <is>
          <t>REPOSTAJE</t>
        </is>
      </c>
      <c r="D145" s="6" t="inlineStr">
        <is>
          <t>EUROBAMAS SL</t>
        </is>
      </c>
      <c r="E145" s="4" t="n">
        <v>45.83</v>
      </c>
      <c r="F145" s="6" t="n"/>
    </row>
    <row r="146">
      <c r="A146" s="6" t="inlineStr">
        <is>
          <t>1.503,00</t>
        </is>
      </c>
      <c r="B146" s="6" t="inlineStr">
        <is>
          <t>29/04/2026</t>
        </is>
      </c>
      <c r="C146" s="6" t="inlineStr">
        <is>
          <t>REPOSTAJE</t>
        </is>
      </c>
      <c r="D146" s="6" t="inlineStr">
        <is>
          <t>NOVELDIESEL SL</t>
        </is>
      </c>
      <c r="E146" s="4" t="n">
        <v>87.26000000000001</v>
      </c>
      <c r="F146" s="6" t="n"/>
    </row>
    <row r="147">
      <c r="A147" s="6" t="inlineStr">
        <is>
          <t>1.502,00</t>
        </is>
      </c>
      <c r="B147" s="6" t="inlineStr">
        <is>
          <t>29/04/2026</t>
        </is>
      </c>
      <c r="C147" s="6" t="inlineStr">
        <is>
          <t>REPOSTAJE</t>
        </is>
      </c>
      <c r="D147" s="6" t="inlineStr">
        <is>
          <t>E.S. PINOSO S.L.</t>
        </is>
      </c>
      <c r="E147" s="4" t="n">
        <v>71.04000000000001</v>
      </c>
      <c r="F147" s="6" t="n"/>
    </row>
    <row r="148">
      <c r="A148" s="6" t="inlineStr">
        <is>
          <t>1.501,00</t>
        </is>
      </c>
      <c r="B148" s="6" t="inlineStr">
        <is>
          <t>29/04/2026</t>
        </is>
      </c>
      <c r="C148" s="6" t="inlineStr">
        <is>
          <t>DIGI MARZO-ABRIL</t>
        </is>
      </c>
      <c r="D148" s="6" t="inlineStr">
        <is>
          <t>DIGI SPAIN TELECOM SL</t>
        </is>
      </c>
      <c r="E148" s="4" t="n">
        <v>6.45</v>
      </c>
      <c r="F148" s="6" t="n"/>
    </row>
    <row r="149">
      <c r="A149" s="6" t="inlineStr">
        <is>
          <t>1.498,00</t>
        </is>
      </c>
      <c r="B149" s="6" t="inlineStr">
        <is>
          <t>29/04/2026</t>
        </is>
      </c>
      <c r="C149" s="6" t="inlineStr">
        <is>
          <t>FONTANERO</t>
        </is>
      </c>
      <c r="D149" s="6" t="inlineStr">
        <is>
          <t>JOSE ANTONIO REYES PACHECO</t>
        </is>
      </c>
      <c r="E149" s="4" t="n">
        <v>195</v>
      </c>
      <c r="F149" s="6" t="n"/>
    </row>
    <row r="150">
      <c r="A150" s="6" t="inlineStr">
        <is>
          <t>1.497,00</t>
        </is>
      </c>
      <c r="B150" s="6" t="inlineStr">
        <is>
          <t>29/04/2026</t>
        </is>
      </c>
      <c r="C150" s="6" t="inlineStr">
        <is>
          <t>HONORARIOS</t>
        </is>
      </c>
      <c r="D150" s="6" t="inlineStr">
        <is>
          <t>INMOCEYLAN SL.</t>
        </is>
      </c>
      <c r="E150" s="4" t="n">
        <v>4000</v>
      </c>
      <c r="F150" s="6" t="n"/>
    </row>
    <row r="151">
      <c r="A151" s="6" t="inlineStr">
        <is>
          <t>1.496,00</t>
        </is>
      </c>
      <c r="B151" s="6" t="inlineStr">
        <is>
          <t>29/04/2026</t>
        </is>
      </c>
      <c r="C151" s="6" t="inlineStr">
        <is>
          <t>NATURGY MARZO</t>
        </is>
      </c>
      <c r="D151" s="6" t="inlineStr"/>
      <c r="E151" s="4" t="n">
        <v>51.16</v>
      </c>
      <c r="F151" s="6" t="n"/>
    </row>
    <row r="152">
      <c r="A152" s="6" t="inlineStr">
        <is>
          <t>1.495,00</t>
        </is>
      </c>
      <c r="B152" s="6" t="inlineStr">
        <is>
          <t>29/04/2026</t>
        </is>
      </c>
      <c r="C152" s="6" t="inlineStr">
        <is>
          <t>MATERIAL</t>
        </is>
      </c>
      <c r="D152" s="6" t="inlineStr">
        <is>
          <t>MATERIALES DE CONSTRUCCION LOS CAPITOS SL.</t>
        </is>
      </c>
      <c r="E152" s="4" t="n">
        <v>26.36</v>
      </c>
      <c r="F152" s="6" t="n"/>
    </row>
    <row r="153">
      <c r="A153" s="6" t="inlineStr">
        <is>
          <t>1.493,00</t>
        </is>
      </c>
      <c r="B153" s="6" t="inlineStr">
        <is>
          <t>29/04/2026</t>
        </is>
      </c>
      <c r="C153" s="6" t="inlineStr">
        <is>
          <t>COMPRA VENTILADORES</t>
        </is>
      </c>
      <c r="D153" s="6" t="inlineStr">
        <is>
          <t>INDEPSALE TECHNOLOGY LIMITED</t>
        </is>
      </c>
      <c r="E153" s="4" t="n">
        <v>564.22</v>
      </c>
      <c r="F153" s="6" t="n"/>
    </row>
    <row r="154">
      <c r="A154" s="6" t="inlineStr">
        <is>
          <t>1.476,00</t>
        </is>
      </c>
      <c r="B154" s="6" t="inlineStr">
        <is>
          <t>23/04/2026</t>
        </is>
      </c>
      <c r="C154" s="6" t="inlineStr">
        <is>
          <t>FACTURA RECTIFICATIVA</t>
        </is>
      </c>
      <c r="D154" s="6" t="inlineStr">
        <is>
          <t>SALTOKI ALICANTE SL.</t>
        </is>
      </c>
      <c r="E154" s="4" t="n">
        <v>100.8</v>
      </c>
      <c r="F154" s="6" t="n"/>
    </row>
    <row r="155">
      <c r="A155" s="6" t="inlineStr">
        <is>
          <t>1.475,00</t>
        </is>
      </c>
      <c r="B155" s="6" t="inlineStr">
        <is>
          <t>23/04/2026</t>
        </is>
      </c>
      <c r="C155" s="6" t="inlineStr">
        <is>
          <t>FACTURA RECTIFICATIVA</t>
        </is>
      </c>
      <c r="D155" s="6" t="inlineStr">
        <is>
          <t>FAJOVI SL</t>
        </is>
      </c>
      <c r="E155" s="4" t="n">
        <v>118.61</v>
      </c>
      <c r="F155" s="6" t="n"/>
    </row>
    <row r="156">
      <c r="A156" s="6" t="inlineStr">
        <is>
          <t>1.473,00</t>
        </is>
      </c>
      <c r="B156" s="6" t="inlineStr">
        <is>
          <t>27/04/2026</t>
        </is>
      </c>
      <c r="C156" s="6" t="inlineStr">
        <is>
          <t>MATERIAL OFICINA</t>
        </is>
      </c>
      <c r="D156" s="6" t="inlineStr">
        <is>
          <t>DISTRIBUCION QING YONG SL</t>
        </is>
      </c>
      <c r="E156" s="4" t="n">
        <v>3.72</v>
      </c>
      <c r="F156" s="6" t="n"/>
    </row>
    <row r="157">
      <c r="A157" s="6" t="inlineStr">
        <is>
          <t>1.472,00</t>
        </is>
      </c>
      <c r="B157" s="6" t="inlineStr">
        <is>
          <t>27/04/2026</t>
        </is>
      </c>
      <c r="C157" s="6" t="inlineStr">
        <is>
          <t>ASESORÍA LABORAL NOVIEMBRE</t>
        </is>
      </c>
      <c r="D157" s="6" t="inlineStr"/>
      <c r="E157" s="4" t="n">
        <v>70</v>
      </c>
      <c r="F157" s="6" t="n"/>
    </row>
    <row r="158">
      <c r="A158" s="6" t="inlineStr">
        <is>
          <t>1.471,00</t>
        </is>
      </c>
      <c r="B158" s="6" t="inlineStr">
        <is>
          <t>27/04/2026</t>
        </is>
      </c>
      <c r="C158" s="6" t="inlineStr">
        <is>
          <t>ALQUILER DICIEMBRE</t>
        </is>
      </c>
      <c r="D158" s="6" t="inlineStr">
        <is>
          <t>PINKY VELVET INTERNATIONAL SL</t>
        </is>
      </c>
      <c r="E158" s="4" t="n">
        <v>350</v>
      </c>
      <c r="F158" s="6" t="n"/>
    </row>
    <row r="159">
      <c r="A159" s="6" t="inlineStr">
        <is>
          <t>1.470,00</t>
        </is>
      </c>
      <c r="B159" s="6" t="inlineStr">
        <is>
          <t>27/04/2026</t>
        </is>
      </c>
      <c r="C159" s="6" t="inlineStr">
        <is>
          <t>CUOTA ANUAL PREVENCIÓN</t>
        </is>
      </c>
      <c r="D159" s="6" t="inlineStr">
        <is>
          <t>EUROPREVEN SERVICIOS DE PREVENCION DE RIESGOS LABORALES SL</t>
        </is>
      </c>
      <c r="E159" s="4" t="n">
        <v>407</v>
      </c>
      <c r="F159" s="6" t="n"/>
    </row>
    <row r="160">
      <c r="A160" s="6" t="inlineStr">
        <is>
          <t>1.468,00</t>
        </is>
      </c>
      <c r="B160" s="6" t="inlineStr">
        <is>
          <t>27/04/2026</t>
        </is>
      </c>
      <c r="C160" s="6" t="inlineStr">
        <is>
          <t>SELLO</t>
        </is>
      </c>
      <c r="D160" s="6" t="inlineStr">
        <is>
          <t>ENDLESS SYSTEMS SLU</t>
        </is>
      </c>
      <c r="E160" s="4" t="n">
        <v>18.18</v>
      </c>
      <c r="F160" s="6" t="n"/>
    </row>
    <row r="161">
      <c r="A161" s="6" t="inlineStr">
        <is>
          <t>1.467,00</t>
        </is>
      </c>
      <c r="B161" s="6" t="inlineStr">
        <is>
          <t>27/04/2026</t>
        </is>
      </c>
      <c r="C161" s="6" t="inlineStr">
        <is>
          <t>MATERIALES VARIOS</t>
        </is>
      </c>
      <c r="D161" s="6" t="inlineStr">
        <is>
          <t>CONSYDECOR SL</t>
        </is>
      </c>
      <c r="E161" s="4" t="n">
        <v>32.25</v>
      </c>
      <c r="F161" s="6" t="n"/>
    </row>
    <row r="162">
      <c r="A162" s="6" t="inlineStr">
        <is>
          <t>1.466,00</t>
        </is>
      </c>
      <c r="B162" s="6" t="inlineStr">
        <is>
          <t>27/04/2026</t>
        </is>
      </c>
      <c r="C162" s="6" t="inlineStr">
        <is>
          <t>HERRAMIENTAS</t>
        </is>
      </c>
      <c r="D162" s="6" t="inlineStr">
        <is>
          <t>LA AVENIDA CERAMICAS SL.</t>
        </is>
      </c>
      <c r="E162" s="4" t="n">
        <v>2586.28</v>
      </c>
      <c r="F162" s="6" t="n"/>
    </row>
    <row r="163">
      <c r="A163" s="6" t="inlineStr">
        <is>
          <t>1.465,00</t>
        </is>
      </c>
      <c r="B163" s="6" t="inlineStr">
        <is>
          <t>23/04/2026</t>
        </is>
      </c>
      <c r="C163" s="6" t="inlineStr">
        <is>
          <t>ASESORAMIENTO ENERO</t>
        </is>
      </c>
      <c r="D163" s="6" t="inlineStr"/>
      <c r="E163" s="4" t="n">
        <v>500</v>
      </c>
      <c r="F163" s="6" t="n"/>
    </row>
    <row r="164">
      <c r="A164" s="6" t="inlineStr">
        <is>
          <t>1.464,00</t>
        </is>
      </c>
      <c r="B164" s="6" t="inlineStr">
        <is>
          <t>23/04/2026</t>
        </is>
      </c>
      <c r="C164" s="6" t="inlineStr">
        <is>
          <t>VARIOS OFICINA</t>
        </is>
      </c>
      <c r="D164" s="6" t="inlineStr">
        <is>
          <t>IKEA IBERICA SAU</t>
        </is>
      </c>
      <c r="E164" s="4" t="n">
        <v>26.86</v>
      </c>
      <c r="F164" s="6" t="n"/>
    </row>
    <row r="165">
      <c r="A165" s="6" t="inlineStr">
        <is>
          <t>1.463,00</t>
        </is>
      </c>
      <c r="B165" s="6" t="inlineStr">
        <is>
          <t>23/04/2026</t>
        </is>
      </c>
      <c r="C165" s="6" t="inlineStr">
        <is>
          <t>ASESORAMIENTO FEBRERO</t>
        </is>
      </c>
      <c r="D165" s="6" t="inlineStr"/>
      <c r="E165" s="4" t="n">
        <v>500</v>
      </c>
      <c r="F165" s="6" t="n"/>
    </row>
    <row r="166">
      <c r="A166" s="6" t="inlineStr">
        <is>
          <t>1.462,00</t>
        </is>
      </c>
      <c r="B166" s="6" t="inlineStr">
        <is>
          <t>23/04/2026</t>
        </is>
      </c>
      <c r="C166" s="6" t="inlineStr">
        <is>
          <t>JAZZTEL ENERO</t>
        </is>
      </c>
      <c r="D166" s="6" t="inlineStr">
        <is>
          <t>ORANGE ESPAGNE SAU.</t>
        </is>
      </c>
      <c r="E166" s="4" t="n">
        <v>47.6</v>
      </c>
      <c r="F166" s="6" t="n"/>
    </row>
    <row r="167">
      <c r="A167" s="6" t="inlineStr">
        <is>
          <t>1.461,00</t>
        </is>
      </c>
      <c r="B167" s="6" t="inlineStr">
        <is>
          <t>27/04/2026</t>
        </is>
      </c>
      <c r="C167" s="6" t="inlineStr">
        <is>
          <t>SUMINISTRO AGUA ENERO 2025</t>
        </is>
      </c>
      <c r="D167" s="6" t="inlineStr">
        <is>
          <t>HIDRAQUA GESTIÓN INTEGRAL DE AGUAS DE LEVANTE SL</t>
        </is>
      </c>
      <c r="E167" s="4" t="n">
        <v>45.29</v>
      </c>
      <c r="F167" s="6" t="n"/>
    </row>
    <row r="168">
      <c r="A168" s="6" t="inlineStr">
        <is>
          <t>1.460,00</t>
        </is>
      </c>
      <c r="B168" s="6" t="inlineStr">
        <is>
          <t>27/04/2026</t>
        </is>
      </c>
      <c r="C168" s="6" t="inlineStr">
        <is>
          <t>IMPRESORA BROTHER</t>
        </is>
      </c>
      <c r="D168" s="6" t="inlineStr">
        <is>
          <t>123TINTA, SOCIEDAD LIMITADA.</t>
        </is>
      </c>
      <c r="E168" s="4" t="n">
        <v>279.71</v>
      </c>
      <c r="F168" s="6" t="n"/>
    </row>
    <row r="169">
      <c r="A169" s="6" t="inlineStr">
        <is>
          <t>1.459,00</t>
        </is>
      </c>
      <c r="B169" s="6" t="inlineStr">
        <is>
          <t>27/04/2026</t>
        </is>
      </c>
      <c r="C169" s="6" t="inlineStr">
        <is>
          <t>MONOS TRABAJO</t>
        </is>
      </c>
      <c r="D169" s="6" t="inlineStr">
        <is>
          <t>LEROY MERLIN ESPAÑA SL</t>
        </is>
      </c>
      <c r="E169" s="4" t="n">
        <v>130.11</v>
      </c>
      <c r="F169" s="6" t="n"/>
    </row>
    <row r="170">
      <c r="A170" s="6" t="inlineStr">
        <is>
          <t>1.453,00</t>
        </is>
      </c>
      <c r="B170" s="6" t="inlineStr">
        <is>
          <t>27/04/2026</t>
        </is>
      </c>
      <c r="C170" s="6" t="inlineStr">
        <is>
          <t>ESPÁTULAS EMPLASTECECR</t>
        </is>
      </c>
      <c r="D170" s="6" t="inlineStr">
        <is>
          <t>LEROY MERLIN ESPAÑA SL</t>
        </is>
      </c>
      <c r="E170" s="4" t="n">
        <v>23.4</v>
      </c>
      <c r="F170" s="6" t="n"/>
    </row>
    <row r="171">
      <c r="A171" s="6" t="inlineStr">
        <is>
          <t>1.452,00</t>
        </is>
      </c>
      <c r="B171" s="6" t="inlineStr">
        <is>
          <t>27/04/2026</t>
        </is>
      </c>
      <c r="C171" s="6" t="inlineStr">
        <is>
          <t>GASOLINA FEBRERO</t>
        </is>
      </c>
      <c r="D171" s="6" t="inlineStr">
        <is>
          <t>PLENOIL SL.</t>
        </is>
      </c>
      <c r="E171" s="4" t="n">
        <v>551.4299999999999</v>
      </c>
      <c r="F171" s="6" t="n"/>
    </row>
    <row r="172">
      <c r="A172" s="6" t="inlineStr">
        <is>
          <t>1.451,00</t>
        </is>
      </c>
      <c r="B172" s="6" t="inlineStr">
        <is>
          <t>27/04/2026</t>
        </is>
      </c>
      <c r="C172" s="6" t="inlineStr">
        <is>
          <t>IGUALA FEBRERO</t>
        </is>
      </c>
      <c r="D172" s="6" t="inlineStr"/>
      <c r="E172" s="4" t="n">
        <v>870</v>
      </c>
      <c r="F172" s="6" t="n"/>
    </row>
    <row r="173">
      <c r="A173" s="6" t="inlineStr">
        <is>
          <t>1.450,00</t>
        </is>
      </c>
      <c r="B173" s="6" t="inlineStr">
        <is>
          <t>27/04/2026</t>
        </is>
      </c>
      <c r="C173" s="6" t="inlineStr">
        <is>
          <t>GUANTES TRABAJO</t>
        </is>
      </c>
      <c r="D173" s="6" t="inlineStr">
        <is>
          <t>NEW KARTER SL.</t>
        </is>
      </c>
      <c r="E173" s="4" t="n">
        <v>98.34999999999999</v>
      </c>
      <c r="F173" s="6" t="n"/>
    </row>
    <row r="174">
      <c r="A174" s="6" t="inlineStr">
        <is>
          <t>1.449,00</t>
        </is>
      </c>
      <c r="B174" s="6" t="inlineStr">
        <is>
          <t>27/04/2026</t>
        </is>
      </c>
      <c r="C174" s="6" t="inlineStr">
        <is>
          <t>FACTURA RECTIFICATIVA MONOS TRABAJO</t>
        </is>
      </c>
      <c r="D174" s="6" t="inlineStr">
        <is>
          <t>LEROY MERLIN ESPAÑA SL</t>
        </is>
      </c>
      <c r="E174" s="4" t="n">
        <v>-130.11</v>
      </c>
      <c r="F174" s="6" t="n"/>
    </row>
    <row r="175">
      <c r="A175" s="6" t="inlineStr">
        <is>
          <t>1.448,00</t>
        </is>
      </c>
      <c r="B175" s="6" t="inlineStr">
        <is>
          <t>27/04/2026</t>
        </is>
      </c>
      <c r="C175" s="6" t="inlineStr">
        <is>
          <t>ALQUILER NAVE MARZO</t>
        </is>
      </c>
      <c r="D175" s="6" t="inlineStr">
        <is>
          <t>PINKY VELVET INTERNATIONAL SL</t>
        </is>
      </c>
      <c r="E175" s="4" t="n">
        <v>350</v>
      </c>
      <c r="F175" s="6" t="n"/>
    </row>
    <row r="176">
      <c r="A176" s="6" t="inlineStr">
        <is>
          <t>1.447,00</t>
        </is>
      </c>
      <c r="B176" s="6" t="inlineStr">
        <is>
          <t>27/04/2026</t>
        </is>
      </c>
      <c r="C176" s="6" t="inlineStr">
        <is>
          <t>ASESORAMIENTO MARZO</t>
        </is>
      </c>
      <c r="D176" s="6" t="inlineStr"/>
      <c r="E176" s="4" t="n">
        <v>500</v>
      </c>
      <c r="F176" s="6" t="n"/>
    </row>
    <row r="177">
      <c r="A177" s="6" t="inlineStr">
        <is>
          <t>1.446,00</t>
        </is>
      </c>
      <c r="B177" s="6" t="inlineStr">
        <is>
          <t>27/04/2026</t>
        </is>
      </c>
      <c r="C177" s="6" t="inlineStr">
        <is>
          <t>CAPAZOS</t>
        </is>
      </c>
      <c r="D177" s="6" t="inlineStr">
        <is>
          <t>CONSYDECOR SL</t>
        </is>
      </c>
      <c r="E177" s="4" t="n">
        <v>11.9</v>
      </c>
      <c r="F177" s="6" t="n"/>
    </row>
    <row r="178">
      <c r="A178" s="6" t="inlineStr">
        <is>
          <t>1.444,00</t>
        </is>
      </c>
      <c r="B178" s="6" t="inlineStr">
        <is>
          <t>27/04/2026</t>
        </is>
      </c>
      <c r="C178" s="6" t="inlineStr">
        <is>
          <t>NATURGY MARZO</t>
        </is>
      </c>
      <c r="D178" s="6" t="inlineStr">
        <is>
          <t>NATURGY IBERIA SA.</t>
        </is>
      </c>
      <c r="E178" s="4" t="n">
        <v>19.89</v>
      </c>
      <c r="F178" s="6" t="n"/>
    </row>
    <row r="179">
      <c r="A179" s="6" t="inlineStr">
        <is>
          <t>1.442,00</t>
        </is>
      </c>
      <c r="B179" s="6" t="inlineStr">
        <is>
          <t>27/04/2026</t>
        </is>
      </c>
      <c r="C179" s="6" t="inlineStr">
        <is>
          <t>JAZZTEL FEBRERO</t>
        </is>
      </c>
      <c r="D179" s="6" t="inlineStr">
        <is>
          <t>ORANGE ESPAGNE SAU.</t>
        </is>
      </c>
      <c r="E179" s="4" t="n">
        <v>54.44</v>
      </c>
      <c r="F179" s="6" t="n"/>
    </row>
    <row r="180">
      <c r="A180" s="6" t="inlineStr">
        <is>
          <t>1.441,00</t>
        </is>
      </c>
      <c r="B180" s="6" t="inlineStr">
        <is>
          <t>27/04/2026</t>
        </is>
      </c>
      <c r="C180" s="6" t="inlineStr">
        <is>
          <t>MATERIAL OFICINA</t>
        </is>
      </c>
      <c r="D180" s="6" t="inlineStr"/>
      <c r="E180" s="4" t="n">
        <v>52.46</v>
      </c>
      <c r="F180" s="6" t="n"/>
    </row>
    <row r="181">
      <c r="A181" s="6" t="inlineStr">
        <is>
          <t>1.440,00</t>
        </is>
      </c>
      <c r="B181" s="6" t="inlineStr">
        <is>
          <t>27/04/2026</t>
        </is>
      </c>
      <c r="C181" s="6" t="inlineStr">
        <is>
          <t>EJECUCIÓN TRABAJOS</t>
        </is>
      </c>
      <c r="D181" s="6" t="inlineStr">
        <is>
          <t>A13 CONSTRUCCIONES Y OBRAS SL.</t>
        </is>
      </c>
      <c r="E181" s="4" t="n">
        <v>10261.98</v>
      </c>
      <c r="F181" s="6" t="n"/>
    </row>
    <row r="182">
      <c r="A182" s="6" t="inlineStr">
        <is>
          <t>1.438,00</t>
        </is>
      </c>
      <c r="B182" s="6" t="inlineStr">
        <is>
          <t>27/04/2026</t>
        </is>
      </c>
      <c r="C182" s="6" t="inlineStr">
        <is>
          <t>ROPA TRABAJO</t>
        </is>
      </c>
      <c r="D182" s="6" t="inlineStr">
        <is>
          <t>FORMATO DIGITAL ACTIVIDADES PUBLICITARIAS SOCIEDAD LIMITADA.</t>
        </is>
      </c>
      <c r="E182" s="4" t="n">
        <v>1040.28</v>
      </c>
      <c r="F182" s="6" t="n"/>
    </row>
    <row r="183">
      <c r="A183" s="6" t="inlineStr">
        <is>
          <t>1.436,00</t>
        </is>
      </c>
      <c r="B183" s="6" t="inlineStr">
        <is>
          <t>27/04/2026</t>
        </is>
      </c>
      <c r="C183" s="6" t="inlineStr">
        <is>
          <t>HIDROLIMPIADORA KARCHER</t>
        </is>
      </c>
      <c r="D183" s="6" t="inlineStr">
        <is>
          <t>FERRETERIA DOSIL SL</t>
        </is>
      </c>
      <c r="E183" s="4" t="n">
        <v>80.79000000000001</v>
      </c>
      <c r="F183" s="6" t="n"/>
    </row>
    <row r="184">
      <c r="A184" s="6" t="inlineStr">
        <is>
          <t>1.435,00</t>
        </is>
      </c>
      <c r="B184" s="6" t="inlineStr">
        <is>
          <t>27/04/2026</t>
        </is>
      </c>
      <c r="C184" s="6" t="inlineStr">
        <is>
          <t>HOLDED MARZO</t>
        </is>
      </c>
      <c r="D184" s="6" t="inlineStr">
        <is>
          <t>HOLDED TECHNOLOGIES SL.</t>
        </is>
      </c>
      <c r="E184" s="4" t="n">
        <v>59</v>
      </c>
      <c r="F184" s="6" t="n"/>
    </row>
    <row r="185">
      <c r="A185" s="6" t="inlineStr">
        <is>
          <t>1.433,00</t>
        </is>
      </c>
      <c r="B185" s="6" t="inlineStr">
        <is>
          <t>27/04/2026</t>
        </is>
      </c>
      <c r="C185" s="6" t="inlineStr">
        <is>
          <t>CALZADO LABORAL</t>
        </is>
      </c>
      <c r="D185" s="6" t="inlineStr">
        <is>
          <t>FORMATO DIGITAL ACTIVIDADES PUBLICITARIAS SOCIEDAD LIMITADA.</t>
        </is>
      </c>
      <c r="E185" s="4" t="n">
        <v>83.79000000000001</v>
      </c>
      <c r="F185" s="6" t="n"/>
    </row>
    <row r="186">
      <c r="A186" s="6" t="inlineStr">
        <is>
          <t>1.432,00</t>
        </is>
      </c>
      <c r="B186" s="6" t="inlineStr">
        <is>
          <t>27/04/2026</t>
        </is>
      </c>
      <c r="C186" s="6" t="inlineStr">
        <is>
          <t>PARKING</t>
        </is>
      </c>
      <c r="D186" s="6" t="inlineStr">
        <is>
          <t>EMPARK APARCAMIENTOS Y SERVICIOS SAU</t>
        </is>
      </c>
      <c r="E186" s="4" t="n">
        <v>7.56</v>
      </c>
      <c r="F186" s="6" t="n"/>
    </row>
    <row r="187">
      <c r="A187" s="6" t="inlineStr">
        <is>
          <t>1.431,00</t>
        </is>
      </c>
      <c r="B187" s="6" t="inlineStr">
        <is>
          <t>27/04/2026</t>
        </is>
      </c>
      <c r="C187" s="6" t="inlineStr">
        <is>
          <t>FILTROS</t>
        </is>
      </c>
      <c r="D187" s="6" t="inlineStr"/>
      <c r="E187" s="4" t="n">
        <v>105.67</v>
      </c>
      <c r="F187" s="6" t="n"/>
    </row>
    <row r="188">
      <c r="A188" s="6" t="inlineStr">
        <is>
          <t>1.430,00</t>
        </is>
      </c>
      <c r="B188" s="6" t="inlineStr">
        <is>
          <t>27/04/2026</t>
        </is>
      </c>
      <c r="C188" s="6" t="inlineStr">
        <is>
          <t>VARIOS</t>
        </is>
      </c>
      <c r="D188" s="6" t="inlineStr">
        <is>
          <t>JUGUETES PEREZ SL</t>
        </is>
      </c>
      <c r="E188" s="4" t="n">
        <v>18.82</v>
      </c>
      <c r="F188" s="6" t="n"/>
    </row>
    <row r="189">
      <c r="A189" s="6" t="inlineStr">
        <is>
          <t>1.429,00</t>
        </is>
      </c>
      <c r="B189" s="6" t="inlineStr">
        <is>
          <t>27/04/2026</t>
        </is>
      </c>
      <c r="C189" s="6" t="inlineStr">
        <is>
          <t>IGUALA POR ASESORÍA LABORAL</t>
        </is>
      </c>
      <c r="D189" s="6" t="inlineStr"/>
      <c r="E189" s="4" t="n">
        <v>870</v>
      </c>
      <c r="F189" s="6" t="n"/>
    </row>
    <row r="190">
      <c r="A190" s="6" t="inlineStr">
        <is>
          <t>1.428,00</t>
        </is>
      </c>
      <c r="B190" s="6" t="inlineStr">
        <is>
          <t>27/04/2026</t>
        </is>
      </c>
      <c r="C190" s="6" t="inlineStr">
        <is>
          <t>GASOLINA MARZO</t>
        </is>
      </c>
      <c r="D190" s="6" t="inlineStr">
        <is>
          <t>PLENOIL SL.</t>
        </is>
      </c>
      <c r="E190" s="4" t="n">
        <v>788.1799999999999</v>
      </c>
      <c r="F190" s="6" t="n"/>
    </row>
    <row r="191">
      <c r="A191" s="6" t="inlineStr">
        <is>
          <t>1.427,00</t>
        </is>
      </c>
      <c r="B191" s="6" t="inlineStr">
        <is>
          <t>27/04/2026</t>
        </is>
      </c>
      <c r="C191" s="6" t="inlineStr">
        <is>
          <t>ASESORAMIENTO ABRIL</t>
        </is>
      </c>
      <c r="D191" s="6" t="inlineStr"/>
      <c r="E191" s="4" t="n">
        <v>500</v>
      </c>
      <c r="F191" s="6" t="n"/>
    </row>
    <row r="192">
      <c r="A192" s="6" t="inlineStr">
        <is>
          <t>1.425,00</t>
        </is>
      </c>
      <c r="B192" s="6" t="inlineStr">
        <is>
          <t>27/04/2026</t>
        </is>
      </c>
      <c r="C192" s="6" t="inlineStr">
        <is>
          <t>ALQUILER NAVE ABRIL</t>
        </is>
      </c>
      <c r="D192" s="6" t="inlineStr">
        <is>
          <t>PINKY VELVET INTERNATIONAL SL</t>
        </is>
      </c>
      <c r="E192" s="4" t="n">
        <v>350</v>
      </c>
      <c r="F192" s="6" t="n"/>
    </row>
    <row r="193">
      <c r="A193" s="6" t="inlineStr">
        <is>
          <t>1.424,00</t>
        </is>
      </c>
      <c r="B193" s="6" t="inlineStr">
        <is>
          <t>27/04/2026</t>
        </is>
      </c>
      <c r="C193" s="6" t="inlineStr">
        <is>
          <t>ESCALERA</t>
        </is>
      </c>
      <c r="D193" s="6" t="inlineStr">
        <is>
          <t>HIJOS DE JOSE BUSQUIER SL</t>
        </is>
      </c>
      <c r="E193" s="4" t="n">
        <v>105.05</v>
      </c>
      <c r="F193" s="6" t="n"/>
    </row>
    <row r="194">
      <c r="A194" s="6" t="inlineStr">
        <is>
          <t>1.423,00</t>
        </is>
      </c>
      <c r="B194" s="6" t="inlineStr">
        <is>
          <t>27/04/2026</t>
        </is>
      </c>
      <c r="C194" s="6" t="inlineStr">
        <is>
          <t>DIGI MARZO</t>
        </is>
      </c>
      <c r="D194" s="6" t="inlineStr">
        <is>
          <t>DIGI SPAIN TELECOM SL</t>
        </is>
      </c>
      <c r="E194" s="4" t="n">
        <v>4.96</v>
      </c>
      <c r="F194" s="6" t="n"/>
    </row>
    <row r="195">
      <c r="A195" s="6" t="inlineStr">
        <is>
          <t>1.422,00</t>
        </is>
      </c>
      <c r="B195" s="6" t="inlineStr">
        <is>
          <t>27/04/2026</t>
        </is>
      </c>
      <c r="C195" s="6" t="inlineStr">
        <is>
          <t>PARKING MURCIA</t>
        </is>
      </c>
      <c r="D195" s="6" t="inlineStr">
        <is>
          <t>EMPARK APARCAMIENTOS Y SERVICIOS SAU</t>
        </is>
      </c>
      <c r="E195" s="4" t="n">
        <v>7.02</v>
      </c>
      <c r="F195" s="6" t="n"/>
    </row>
    <row r="196">
      <c r="A196" s="6" t="inlineStr">
        <is>
          <t>1.421,00</t>
        </is>
      </c>
      <c r="B196" s="6" t="inlineStr">
        <is>
          <t>27/04/2026</t>
        </is>
      </c>
      <c r="C196" s="6" t="inlineStr">
        <is>
          <t>COMIDA</t>
        </is>
      </c>
      <c r="D196" s="6" t="inlineStr">
        <is>
          <t>TRES DE AGOSTO</t>
        </is>
      </c>
      <c r="E196" s="4" t="n">
        <v>24.55</v>
      </c>
      <c r="F196" s="6" t="n"/>
    </row>
    <row r="197">
      <c r="A197" s="6" t="inlineStr">
        <is>
          <t>1.420,00</t>
        </is>
      </c>
      <c r="B197" s="6" t="inlineStr">
        <is>
          <t>27/04/2026</t>
        </is>
      </c>
      <c r="C197" s="6" t="inlineStr">
        <is>
          <t>AZULETE</t>
        </is>
      </c>
      <c r="D197" s="6" t="inlineStr">
        <is>
          <t>CONSYDECOR SL</t>
        </is>
      </c>
      <c r="E197" s="4" t="n">
        <v>8.619999999999999</v>
      </c>
      <c r="F197" s="6" t="n"/>
    </row>
    <row r="198">
      <c r="A198" s="6" t="inlineStr">
        <is>
          <t>1.419,00</t>
        </is>
      </c>
      <c r="B198" s="6" t="inlineStr">
        <is>
          <t>27/04/2026</t>
        </is>
      </c>
      <c r="C198" s="6" t="inlineStr">
        <is>
          <t>RECAMBIO TINTA</t>
        </is>
      </c>
      <c r="D198" s="6" t="inlineStr">
        <is>
          <t>123TINTA, SOCIEDAD LIMITADA.</t>
        </is>
      </c>
      <c r="E198" s="4" t="n">
        <v>121.03</v>
      </c>
      <c r="F198" s="6" t="n"/>
    </row>
    <row r="199">
      <c r="A199" s="6" t="inlineStr">
        <is>
          <t>1.417,00</t>
        </is>
      </c>
      <c r="B199" s="6" t="inlineStr">
        <is>
          <t>27/04/2026</t>
        </is>
      </c>
      <c r="C199" s="6" t="inlineStr">
        <is>
          <t>JAZZTEL MARZO</t>
        </is>
      </c>
      <c r="D199" s="6" t="inlineStr">
        <is>
          <t>ORANGE ESPAGNE SAU.</t>
        </is>
      </c>
      <c r="E199" s="4" t="n">
        <v>61.55</v>
      </c>
      <c r="F199" s="6" t="n"/>
    </row>
    <row r="200">
      <c r="A200" s="6" t="inlineStr">
        <is>
          <t>1.416,00</t>
        </is>
      </c>
      <c r="B200" s="6" t="inlineStr">
        <is>
          <t>27/04/2026</t>
        </is>
      </c>
      <c r="C200" s="6" t="inlineStr">
        <is>
          <t>GASOLINA</t>
        </is>
      </c>
      <c r="D200" s="6" t="inlineStr">
        <is>
          <t>PLENOIL SL.</t>
        </is>
      </c>
      <c r="E200" s="4" t="n">
        <v>57.85</v>
      </c>
      <c r="F200" s="6" t="n"/>
    </row>
    <row r="201">
      <c r="A201" s="6" t="inlineStr">
        <is>
          <t>1.415,00</t>
        </is>
      </c>
      <c r="B201" s="6" t="inlineStr">
        <is>
          <t>27/04/2026</t>
        </is>
      </c>
      <c r="C201" s="6" t="inlineStr">
        <is>
          <t>GASOLINA</t>
        </is>
      </c>
      <c r="D201" s="6" t="inlineStr">
        <is>
          <t>PLENOIL SL.</t>
        </is>
      </c>
      <c r="E201" s="4" t="n">
        <v>49.59</v>
      </c>
      <c r="F201" s="6" t="n"/>
    </row>
    <row r="202">
      <c r="A202" s="6" t="inlineStr">
        <is>
          <t>1.414,00</t>
        </is>
      </c>
      <c r="B202" s="6" t="inlineStr">
        <is>
          <t>27/04/2026</t>
        </is>
      </c>
      <c r="C202" s="6" t="inlineStr">
        <is>
          <t>GASOLINA</t>
        </is>
      </c>
      <c r="D202" s="6" t="inlineStr">
        <is>
          <t>PLENOIL SL.</t>
        </is>
      </c>
      <c r="E202" s="4" t="n">
        <v>28.93</v>
      </c>
      <c r="F202" s="6" t="n"/>
    </row>
    <row r="203">
      <c r="A203" s="6" t="inlineStr">
        <is>
          <t>1.413,00</t>
        </is>
      </c>
      <c r="B203" s="6" t="inlineStr">
        <is>
          <t>27/04/2026</t>
        </is>
      </c>
      <c r="C203" s="6" t="inlineStr">
        <is>
          <t>NATURGY MARZO</t>
        </is>
      </c>
      <c r="D203" s="6" t="inlineStr">
        <is>
          <t>NATURGY IBERIA SA.</t>
        </is>
      </c>
      <c r="E203" s="4" t="n">
        <v>24.39</v>
      </c>
      <c r="F203" s="6" t="n"/>
    </row>
    <row r="204">
      <c r="A204" s="6" t="inlineStr">
        <is>
          <t>1.412,00</t>
        </is>
      </c>
      <c r="B204" s="6" t="inlineStr">
        <is>
          <t>27/04/2026</t>
        </is>
      </c>
      <c r="C204" s="6" t="inlineStr">
        <is>
          <t>MALETÍN ACCESORIOS HILTI ASPIRADOR</t>
        </is>
      </c>
      <c r="D204" s="6" t="inlineStr">
        <is>
          <t>HILTI ESPAÑOLA SA</t>
        </is>
      </c>
      <c r="E204" s="4" t="n">
        <v>152.58</v>
      </c>
      <c r="F204" s="6" t="n"/>
    </row>
    <row r="205">
      <c r="A205" s="6" t="inlineStr">
        <is>
          <t>1.411,00</t>
        </is>
      </c>
      <c r="B205" s="6" t="inlineStr">
        <is>
          <t>27/04/2026</t>
        </is>
      </c>
      <c r="C205" s="6" t="inlineStr">
        <is>
          <t>MAQUINARIA</t>
        </is>
      </c>
      <c r="D205" s="6" t="inlineStr">
        <is>
          <t>LA AVENIDA CERAMICAS SL.</t>
        </is>
      </c>
      <c r="E205" s="4" t="n">
        <v>795.73</v>
      </c>
      <c r="F205" s="6" t="n"/>
    </row>
    <row r="206">
      <c r="A206" s="6" t="inlineStr">
        <is>
          <t>1.406,00</t>
        </is>
      </c>
      <c r="B206" s="6" t="inlineStr">
        <is>
          <t>27/04/2026</t>
        </is>
      </c>
      <c r="C206" s="6" t="inlineStr">
        <is>
          <t>CUÑAS</t>
        </is>
      </c>
      <c r="D206" s="6" t="inlineStr">
        <is>
          <t>PROFILBER COMPOSITES SL.</t>
        </is>
      </c>
      <c r="E206" s="4" t="n">
        <v>412.56</v>
      </c>
      <c r="F206" s="6" t="n"/>
    </row>
    <row r="207">
      <c r="A207" s="6" t="inlineStr">
        <is>
          <t>1.405,00</t>
        </is>
      </c>
      <c r="B207" s="6" t="inlineStr">
        <is>
          <t>27/04/2026</t>
        </is>
      </c>
      <c r="C207" s="6" t="inlineStr">
        <is>
          <t>GRAPAS JARDÍN</t>
        </is>
      </c>
      <c r="D207" s="6" t="inlineStr">
        <is>
          <t>AMAZON EU SARL SUCURSAL EN ESPAÑA.</t>
        </is>
      </c>
      <c r="E207" s="4" t="n">
        <v>23.12</v>
      </c>
      <c r="F207" s="6" t="n"/>
    </row>
    <row r="208">
      <c r="A208" s="6" t="inlineStr">
        <is>
          <t>1.404,00</t>
        </is>
      </c>
      <c r="B208" s="6" t="inlineStr">
        <is>
          <t>27/04/2026</t>
        </is>
      </c>
      <c r="C208" s="6" t="inlineStr">
        <is>
          <t>BROCA</t>
        </is>
      </c>
      <c r="D208" s="6" t="inlineStr"/>
      <c r="E208" s="4" t="n">
        <v>36.36</v>
      </c>
      <c r="F208" s="6" t="n"/>
    </row>
    <row r="209">
      <c r="A209" s="6" t="inlineStr">
        <is>
          <t>1.403,00</t>
        </is>
      </c>
      <c r="B209" s="6" t="inlineStr">
        <is>
          <t>05/05/2026</t>
        </is>
      </c>
      <c r="C209" s="6" t="inlineStr">
        <is>
          <t>RUBI . DISCOS DE DIAMANTE</t>
        </is>
      </c>
      <c r="D209" s="6" t="inlineStr">
        <is>
          <t>AMAZON EU SARL SUCURSAL EN ESPAÑA.</t>
        </is>
      </c>
      <c r="E209" s="4" t="n">
        <v>118.06</v>
      </c>
      <c r="F209" s="6" t="n"/>
    </row>
    <row r="210">
      <c r="A210" s="6" t="inlineStr">
        <is>
          <t>1.402,00</t>
        </is>
      </c>
      <c r="B210" s="6" t="inlineStr">
        <is>
          <t>05/05/2026</t>
        </is>
      </c>
      <c r="C210" s="6" t="inlineStr">
        <is>
          <t>DISCOS DE DIAMANTE</t>
        </is>
      </c>
      <c r="D210" s="6" t="inlineStr">
        <is>
          <t>HANGZHOU EASY CAN TOOLS CO LTD</t>
        </is>
      </c>
      <c r="E210" s="4" t="n">
        <v>70.54000000000001</v>
      </c>
      <c r="F210" s="6" t="n"/>
    </row>
    <row r="211">
      <c r="A211" s="6" t="inlineStr">
        <is>
          <t>1.401,00</t>
        </is>
      </c>
      <c r="B211" s="6" t="inlineStr">
        <is>
          <t>05/05/2026</t>
        </is>
      </c>
      <c r="C211" s="6" t="inlineStr">
        <is>
          <t>CORREA DE TRINQUETE</t>
        </is>
      </c>
      <c r="D211" s="6" t="inlineStr">
        <is>
          <t>EURO DEPOT ESPAÑA S.A.U.</t>
        </is>
      </c>
      <c r="E211" s="4" t="n">
        <v>6.57</v>
      </c>
      <c r="F211" s="6" t="n"/>
    </row>
    <row r="212">
      <c r="A212" s="6" t="inlineStr">
        <is>
          <t>1.400,00</t>
        </is>
      </c>
      <c r="B212" s="6" t="inlineStr">
        <is>
          <t>05/05/2026</t>
        </is>
      </c>
      <c r="C212" s="6" t="inlineStr">
        <is>
          <t>HERRAMIENTA</t>
        </is>
      </c>
      <c r="D212" s="6" t="inlineStr">
        <is>
          <t>CONSYDECOR SL</t>
        </is>
      </c>
      <c r="E212" s="4" t="n">
        <v>46.45</v>
      </c>
      <c r="F212" s="6" t="n"/>
    </row>
    <row r="213">
      <c r="A213" s="6" t="inlineStr">
        <is>
          <t>1.399,00</t>
        </is>
      </c>
      <c r="B213" s="6" t="inlineStr">
        <is>
          <t>05/05/2026</t>
        </is>
      </c>
      <c r="C213" s="6" t="inlineStr">
        <is>
          <t>PARKING LA MONTAÑETA</t>
        </is>
      </c>
      <c r="D213" s="6" t="inlineStr">
        <is>
          <t>UTE PAVAPARK-VECTALIA-PARKING MONTAÑETA</t>
        </is>
      </c>
      <c r="E213" s="4" t="n">
        <v>2.6</v>
      </c>
      <c r="F213" s="6" t="n"/>
    </row>
    <row r="214">
      <c r="A214" s="6" t="inlineStr">
        <is>
          <t>1.398,00</t>
        </is>
      </c>
      <c r="B214" s="6" t="inlineStr">
        <is>
          <t>05/05/2026</t>
        </is>
      </c>
      <c r="C214" s="6" t="inlineStr">
        <is>
          <t>VARIOS</t>
        </is>
      </c>
      <c r="D214" s="6" t="inlineStr">
        <is>
          <t>ACTION RETAIL SPAIN SL.</t>
        </is>
      </c>
      <c r="E214" s="4" t="n">
        <v>33.91</v>
      </c>
      <c r="F214" s="6" t="n"/>
    </row>
    <row r="215">
      <c r="A215" s="6" t="inlineStr">
        <is>
          <t>1.397,00</t>
        </is>
      </c>
      <c r="B215" s="6" t="inlineStr">
        <is>
          <t>05/05/2026</t>
        </is>
      </c>
      <c r="C215" s="6" t="inlineStr">
        <is>
          <t>ESMERILLADOR</t>
        </is>
      </c>
      <c r="D215" s="6" t="inlineStr">
        <is>
          <t>HEES PETERS GmbH</t>
        </is>
      </c>
      <c r="E215" s="4" t="n">
        <v>154.38</v>
      </c>
      <c r="F215" s="6" t="n"/>
    </row>
    <row r="216">
      <c r="A216" s="6" t="inlineStr">
        <is>
          <t>1.396,00</t>
        </is>
      </c>
      <c r="B216" s="6" t="inlineStr">
        <is>
          <t>05/05/2026</t>
        </is>
      </c>
      <c r="C216" s="6" t="inlineStr">
        <is>
          <t>HOLDED ABRIL</t>
        </is>
      </c>
      <c r="D216" s="6" t="inlineStr">
        <is>
          <t>HOLDED TECHNOLOGIES SL.</t>
        </is>
      </c>
      <c r="E216" s="4" t="n">
        <v>59</v>
      </c>
      <c r="F216" s="6" t="n"/>
    </row>
    <row r="217">
      <c r="A217" s="6" t="inlineStr">
        <is>
          <t>1.395,00</t>
        </is>
      </c>
      <c r="B217" s="6" t="inlineStr">
        <is>
          <t>05/05/2026</t>
        </is>
      </c>
      <c r="C217" s="6" t="inlineStr">
        <is>
          <t>BLOQUES DE LIJADO</t>
        </is>
      </c>
      <c r="D217" s="6" t="inlineStr">
        <is>
          <t>Shenzhen shi jian da rui keji youxian gongsi</t>
        </is>
      </c>
      <c r="E217" s="4" t="n">
        <v>14.04</v>
      </c>
      <c r="F217" s="6" t="n"/>
    </row>
    <row r="218">
      <c r="A218" s="6" t="inlineStr">
        <is>
          <t>1.394,00</t>
        </is>
      </c>
      <c r="B218" s="6" t="inlineStr">
        <is>
          <t>05/05/2026</t>
        </is>
      </c>
      <c r="C218" s="6" t="inlineStr">
        <is>
          <t>MOTOMIX MEZCLA</t>
        </is>
      </c>
      <c r="D218" s="6" t="inlineStr">
        <is>
          <t>MARHUENDA IMPORTACIONES SL</t>
        </is>
      </c>
      <c r="E218" s="4" t="n">
        <v>23.14</v>
      </c>
      <c r="F218" s="6" t="n"/>
    </row>
    <row r="219">
      <c r="A219" s="6" t="inlineStr">
        <is>
          <t>1.393,00</t>
        </is>
      </c>
      <c r="B219" s="6" t="inlineStr">
        <is>
          <t>05/05/2026</t>
        </is>
      </c>
      <c r="C219" s="6" t="inlineStr">
        <is>
          <t>DIGI ABRIL</t>
        </is>
      </c>
      <c r="D219" s="6" t="inlineStr">
        <is>
          <t>DIGI SPAIN TELECOM SL</t>
        </is>
      </c>
      <c r="E219" s="4" t="n">
        <v>4.96</v>
      </c>
      <c r="F219" s="6" t="n"/>
    </row>
    <row r="220">
      <c r="A220" s="6" t="inlineStr">
        <is>
          <t>1.392,00</t>
        </is>
      </c>
      <c r="B220" s="6" t="inlineStr">
        <is>
          <t>05/05/2026</t>
        </is>
      </c>
      <c r="C220" s="6" t="inlineStr">
        <is>
          <t>REPOSTAJE</t>
        </is>
      </c>
      <c r="D220" s="6" t="inlineStr">
        <is>
          <t>REPSOL COMERCIAL DE PRODUCTOS PETROLIFEROS SA</t>
        </is>
      </c>
      <c r="E220" s="4" t="n">
        <v>74.94</v>
      </c>
      <c r="F220" s="6" t="n"/>
    </row>
    <row r="221">
      <c r="A221" s="6" t="inlineStr">
        <is>
          <t>1.391,00</t>
        </is>
      </c>
      <c r="B221" s="6" t="inlineStr">
        <is>
          <t>05/05/2026</t>
        </is>
      </c>
      <c r="C221" s="6" t="inlineStr">
        <is>
          <t>BISAGRA, PESTILLO, CANDADO</t>
        </is>
      </c>
      <c r="D221" s="6" t="inlineStr">
        <is>
          <t>LEROY MERLIN ESPAÑA SL</t>
        </is>
      </c>
      <c r="E221" s="4" t="n">
        <v>5.98</v>
      </c>
      <c r="F221" s="6" t="n"/>
    </row>
    <row r="222">
      <c r="A222" s="6" t="inlineStr">
        <is>
          <t>1.390,00</t>
        </is>
      </c>
      <c r="B222" s="6" t="inlineStr">
        <is>
          <t>05/05/2026</t>
        </is>
      </c>
      <c r="C222" s="6" t="inlineStr">
        <is>
          <t>REPOSTAJE</t>
        </is>
      </c>
      <c r="D222" s="6" t="inlineStr">
        <is>
          <t>REPSOL COMERCIAL DE PRODUCTOS PETROLIFEROS SA</t>
        </is>
      </c>
      <c r="E222" s="4" t="n">
        <v>58.1</v>
      </c>
      <c r="F222" s="6" t="n"/>
    </row>
    <row r="223">
      <c r="A223" s="6" t="inlineStr">
        <is>
          <t>1.389,00</t>
        </is>
      </c>
      <c r="B223" s="6" t="inlineStr">
        <is>
          <t>05/05/2026</t>
        </is>
      </c>
      <c r="C223" s="6" t="inlineStr">
        <is>
          <t>GASOLINA ABRIL</t>
        </is>
      </c>
      <c r="D223" s="6" t="inlineStr">
        <is>
          <t>PLENOIL SL.</t>
        </is>
      </c>
      <c r="E223" s="4" t="n">
        <v>661.64</v>
      </c>
      <c r="F223" s="6" t="n"/>
    </row>
    <row r="224">
      <c r="A224" s="6" t="inlineStr">
        <is>
          <t>1.388,00</t>
        </is>
      </c>
      <c r="B224" s="6" t="inlineStr">
        <is>
          <t>05/05/2026</t>
        </is>
      </c>
      <c r="C224" s="6" t="inlineStr">
        <is>
          <t>IGUALA POR ASESORÍA LABORAL</t>
        </is>
      </c>
      <c r="D224" s="6" t="inlineStr"/>
      <c r="E224" s="4" t="n">
        <v>870</v>
      </c>
      <c r="F224" s="6" t="n"/>
    </row>
    <row r="225">
      <c r="A225" s="6" t="inlineStr">
        <is>
          <t>1.387,00</t>
        </is>
      </c>
      <c r="B225" s="6" t="inlineStr">
        <is>
          <t>05/05/2026</t>
        </is>
      </c>
      <c r="C225" s="6" t="inlineStr">
        <is>
          <t>ASESORAMIENTO MAYO</t>
        </is>
      </c>
      <c r="D225" s="6" t="inlineStr"/>
      <c r="E225" s="4" t="n">
        <v>500</v>
      </c>
      <c r="F225" s="6" t="n"/>
    </row>
    <row r="226">
      <c r="A226" s="6" t="inlineStr">
        <is>
          <t>1.386,00</t>
        </is>
      </c>
      <c r="B226" s="6" t="inlineStr">
        <is>
          <t>05/05/2026</t>
        </is>
      </c>
      <c r="C226" s="6" t="inlineStr">
        <is>
          <t>ALQUILER NAVE  MAYO</t>
        </is>
      </c>
      <c r="D226" s="6" t="inlineStr">
        <is>
          <t>PINKY VELVET INTERNATIONAL SL</t>
        </is>
      </c>
      <c r="E226" s="4" t="n">
        <v>350</v>
      </c>
      <c r="F226" s="6" t="n"/>
    </row>
    <row r="227">
      <c r="A227" s="6" t="inlineStr">
        <is>
          <t>1.385,00</t>
        </is>
      </c>
      <c r="B227" s="6" t="inlineStr">
        <is>
          <t>05/05/2026</t>
        </is>
      </c>
      <c r="C227" s="6" t="inlineStr">
        <is>
          <t>DISCO DIAMANTE</t>
        </is>
      </c>
      <c r="D227" s="6" t="inlineStr">
        <is>
          <t>WURTH ESPAÑA SA</t>
        </is>
      </c>
      <c r="E227" s="4" t="n">
        <v>53.85</v>
      </c>
      <c r="F227" s="6" t="n"/>
    </row>
    <row r="228">
      <c r="A228" s="6" t="inlineStr">
        <is>
          <t>1.384,00</t>
        </is>
      </c>
      <c r="B228" s="6" t="inlineStr">
        <is>
          <t>05/05/2026</t>
        </is>
      </c>
      <c r="C228" s="6" t="inlineStr">
        <is>
          <t>ABONO PARKING</t>
        </is>
      </c>
      <c r="D228" s="6" t="inlineStr">
        <is>
          <t>CENTRO ESPECIAL DE EMPLEO CASTELAR SL.</t>
        </is>
      </c>
      <c r="E228" s="4" t="n">
        <v>41.32</v>
      </c>
      <c r="F228" s="6" t="n"/>
    </row>
    <row r="229">
      <c r="A229" s="6" t="inlineStr">
        <is>
          <t>1.383,00</t>
        </is>
      </c>
      <c r="B229" s="6" t="inlineStr">
        <is>
          <t>05/05/2026</t>
        </is>
      </c>
      <c r="C229" s="6" t="inlineStr">
        <is>
          <t>JAZZTEL ABRIL</t>
        </is>
      </c>
      <c r="D229" s="6" t="inlineStr">
        <is>
          <t>ORANGE ESPAGNE SAU.</t>
        </is>
      </c>
      <c r="E229" s="4" t="n">
        <v>31.95</v>
      </c>
      <c r="F229" s="6" t="n"/>
    </row>
    <row r="230">
      <c r="A230" s="6" t="inlineStr">
        <is>
          <t>1.382,00</t>
        </is>
      </c>
      <c r="B230" s="6" t="inlineStr">
        <is>
          <t>05/05/2026</t>
        </is>
      </c>
      <c r="C230" s="6" t="inlineStr">
        <is>
          <t>NATURGY ABRIL</t>
        </is>
      </c>
      <c r="D230" s="6" t="inlineStr">
        <is>
          <t>NATURGY IBERIA SA.</t>
        </is>
      </c>
      <c r="E230" s="4" t="n">
        <v>19.6</v>
      </c>
      <c r="F230" s="6" t="n"/>
    </row>
    <row r="231">
      <c r="A231" s="6" t="inlineStr">
        <is>
          <t>1.381,00</t>
        </is>
      </c>
      <c r="B231" s="6" t="inlineStr">
        <is>
          <t>05/05/2026</t>
        </is>
      </c>
      <c r="C231" s="6" t="inlineStr">
        <is>
          <t>DISCOS</t>
        </is>
      </c>
      <c r="D231" s="6" t="inlineStr">
        <is>
          <t>WURTH ESPAÑA SA</t>
        </is>
      </c>
      <c r="E231" s="4" t="n">
        <v>125.65</v>
      </c>
      <c r="F231" s="6" t="n"/>
    </row>
    <row r="232">
      <c r="A232" s="6" t="inlineStr">
        <is>
          <t>1.380,00</t>
        </is>
      </c>
      <c r="B232" s="6" t="inlineStr">
        <is>
          <t>05/05/2026</t>
        </is>
      </c>
      <c r="C232" s="6" t="inlineStr">
        <is>
          <t>BASE DE CARGA</t>
        </is>
      </c>
      <c r="D232" s="6" t="inlineStr">
        <is>
          <t>KTUIN SISTEMAS INFORMATICOS SAU</t>
        </is>
      </c>
      <c r="E232" s="4" t="n">
        <v>189.25</v>
      </c>
      <c r="F232" s="6" t="n"/>
    </row>
    <row r="233">
      <c r="A233" s="6" t="inlineStr">
        <is>
          <t>1.378,00</t>
        </is>
      </c>
      <c r="B233" s="6" t="inlineStr">
        <is>
          <t>06/05/2026</t>
        </is>
      </c>
      <c r="C233" s="6" t="inlineStr">
        <is>
          <t>TRACTOR</t>
        </is>
      </c>
      <c r="D233" s="6" t="inlineStr">
        <is>
          <t>ATAA INTERACTIVE SL</t>
        </is>
      </c>
      <c r="E233" s="4" t="n">
        <v>136.54</v>
      </c>
      <c r="F233" s="6" t="n"/>
    </row>
    <row r="234">
      <c r="A234" s="6" t="inlineStr">
        <is>
          <t>1.375,00</t>
        </is>
      </c>
      <c r="B234" s="6" t="inlineStr">
        <is>
          <t>06/05/2026</t>
        </is>
      </c>
      <c r="C234" s="6" t="inlineStr">
        <is>
          <t>ESPÁTULA MAKITA</t>
        </is>
      </c>
      <c r="D234" s="6" t="inlineStr">
        <is>
          <t>FERRELDA SL</t>
        </is>
      </c>
      <c r="E234" s="4" t="n">
        <v>23.77</v>
      </c>
      <c r="F234" s="6" t="n"/>
    </row>
    <row r="235">
      <c r="A235" s="6" t="inlineStr">
        <is>
          <t>1.374,00</t>
        </is>
      </c>
      <c r="B235" s="6" t="inlineStr">
        <is>
          <t>06/05/2026</t>
        </is>
      </c>
      <c r="C235" s="6" t="inlineStr">
        <is>
          <t>LEGALIZ.LIBROS</t>
        </is>
      </c>
      <c r="D235" s="6" t="inlineStr">
        <is>
          <t>REGISTRO MERCANTIL DE ALICANTE, S.C.</t>
        </is>
      </c>
      <c r="E235" s="4" t="n">
        <v>51.84</v>
      </c>
      <c r="F235" s="6" t="n"/>
    </row>
    <row r="236">
      <c r="A236" s="6" t="inlineStr">
        <is>
          <t>1.373,00</t>
        </is>
      </c>
      <c r="B236" s="6" t="inlineStr">
        <is>
          <t>06/05/2026</t>
        </is>
      </c>
      <c r="C236" s="6" t="inlineStr">
        <is>
          <t>ABONO TUBO CEMENTO</t>
        </is>
      </c>
      <c r="D236" s="6" t="inlineStr">
        <is>
          <t>CONSYDECOR SL</t>
        </is>
      </c>
      <c r="E236" s="4" t="n">
        <v>-22.48</v>
      </c>
      <c r="F236" s="6" t="n"/>
    </row>
    <row r="237">
      <c r="A237" s="6" t="inlineStr">
        <is>
          <t>1.372,00</t>
        </is>
      </c>
      <c r="B237" s="6" t="inlineStr">
        <is>
          <t>13/05/2026</t>
        </is>
      </c>
      <c r="C237" s="6" t="inlineStr">
        <is>
          <t>SUMINISTRO AGUA</t>
        </is>
      </c>
      <c r="D237" s="6" t="inlineStr">
        <is>
          <t>HIDRAQUA GESTIÓN INTEGRAL DE AGUAS DE LEVANTE SL</t>
        </is>
      </c>
      <c r="E237" s="4" t="n">
        <v>31.32</v>
      </c>
      <c r="F237" s="6" t="n"/>
    </row>
    <row r="238">
      <c r="A238" s="6" t="inlineStr">
        <is>
          <t>1.371,00</t>
        </is>
      </c>
      <c r="B238" s="6" t="inlineStr">
        <is>
          <t>14/05/2026</t>
        </is>
      </c>
      <c r="C238" s="6" t="inlineStr">
        <is>
          <t>MATACARCOMA</t>
        </is>
      </c>
      <c r="D238" s="6" t="inlineStr">
        <is>
          <t>DICOMI BENJAMIN, DISTRIBUIDORA PARA COMERCIO MINORISTA SL.</t>
        </is>
      </c>
      <c r="E238" s="4" t="n">
        <v>8.220000000000001</v>
      </c>
      <c r="F238" s="6" t="n"/>
    </row>
    <row r="239">
      <c r="A239" s="6" t="inlineStr">
        <is>
          <t>1.369,00</t>
        </is>
      </c>
      <c r="B239" s="6" t="inlineStr">
        <is>
          <t>12/05/2026</t>
        </is>
      </c>
      <c r="C239" s="6" t="inlineStr">
        <is>
          <t>PARKING</t>
        </is>
      </c>
      <c r="D239" s="6" t="inlineStr">
        <is>
          <t>CENTRO ESPECIAL DE EMPLEO CASTELAR SL.</t>
        </is>
      </c>
      <c r="E239" s="4" t="n">
        <v>3.68</v>
      </c>
      <c r="F239" s="6" t="n"/>
    </row>
    <row r="240">
      <c r="A240" s="6" t="inlineStr">
        <is>
          <t>1.368,00</t>
        </is>
      </c>
      <c r="B240" s="6" t="inlineStr">
        <is>
          <t>14/05/2026</t>
        </is>
      </c>
      <c r="C240" s="6" t="inlineStr">
        <is>
          <t>BRIDAS</t>
        </is>
      </c>
      <c r="D240" s="6" t="inlineStr">
        <is>
          <t>SUMINISTROS FERRETEROS GUZMAN S.L.</t>
        </is>
      </c>
      <c r="E240" s="4" t="n">
        <v>28.86</v>
      </c>
      <c r="F240" s="6" t="n"/>
    </row>
    <row r="241">
      <c r="A241" s="6" t="inlineStr">
        <is>
          <t>1.367,00</t>
        </is>
      </c>
      <c r="B241" s="6" t="inlineStr">
        <is>
          <t>14/05/2026</t>
        </is>
      </c>
      <c r="C241" s="6" t="inlineStr">
        <is>
          <t>REPOSTAJE</t>
        </is>
      </c>
      <c r="D241" s="6" t="inlineStr">
        <is>
          <t>ESTACION OMEGA ESPINARDO SL</t>
        </is>
      </c>
      <c r="E241" s="4" t="n">
        <v>60.33</v>
      </c>
      <c r="F241" s="6" t="n"/>
    </row>
    <row r="242">
      <c r="A242" s="6" t="inlineStr">
        <is>
          <t>1.366,00</t>
        </is>
      </c>
      <c r="B242" s="6" t="inlineStr">
        <is>
          <t>14/05/2026</t>
        </is>
      </c>
      <c r="C242" s="6" t="inlineStr">
        <is>
          <t>HOLDED MAYO</t>
        </is>
      </c>
      <c r="D242" s="6" t="inlineStr">
        <is>
          <t>HOLDED TECHNOLOGIES SL.</t>
        </is>
      </c>
      <c r="E242" s="4" t="n">
        <v>59</v>
      </c>
      <c r="F242" s="6" t="n"/>
    </row>
    <row r="243">
      <c r="A243" s="6" t="inlineStr">
        <is>
          <t>1.365,00</t>
        </is>
      </c>
      <c r="B243" s="6" t="inlineStr">
        <is>
          <t>14/05/2026</t>
        </is>
      </c>
      <c r="C243" s="6" t="inlineStr">
        <is>
          <t>DIGI MAYO</t>
        </is>
      </c>
      <c r="D243" s="6" t="inlineStr">
        <is>
          <t>DIGI SPAIN TELECOM SL</t>
        </is>
      </c>
      <c r="E243" s="4" t="n">
        <v>4.96</v>
      </c>
      <c r="F243" s="6" t="n"/>
    </row>
    <row r="244">
      <c r="A244" s="6" t="inlineStr">
        <is>
          <t>1.364,00</t>
        </is>
      </c>
      <c r="B244" s="6" t="inlineStr">
        <is>
          <t>14/05/2026</t>
        </is>
      </c>
      <c r="C244" s="6" t="inlineStr">
        <is>
          <t>GASOLINA</t>
        </is>
      </c>
      <c r="D244" s="6" t="inlineStr">
        <is>
          <t>CIA ESPAÑOLA DIST PETROLEOS</t>
        </is>
      </c>
      <c r="E244" s="4" t="n">
        <v>27.97</v>
      </c>
      <c r="F244" s="6" t="n"/>
    </row>
    <row r="245">
      <c r="A245" s="6" t="inlineStr">
        <is>
          <t>1.363,00</t>
        </is>
      </c>
      <c r="B245" s="6" t="inlineStr">
        <is>
          <t>14/05/2026</t>
        </is>
      </c>
      <c r="C245" s="6" t="inlineStr">
        <is>
          <t>CURSOS FORMACIÓN</t>
        </is>
      </c>
      <c r="D245" s="6" t="inlineStr">
        <is>
          <t>METODOESTE FORMACION SL.</t>
        </is>
      </c>
      <c r="E245" s="4" t="n">
        <v>400</v>
      </c>
      <c r="F245" s="6" t="n"/>
    </row>
    <row r="246">
      <c r="A246" s="6" t="inlineStr">
        <is>
          <t>1.362,00</t>
        </is>
      </c>
      <c r="B246" s="6" t="inlineStr">
        <is>
          <t>14/05/2026</t>
        </is>
      </c>
      <c r="C246" s="6" t="inlineStr">
        <is>
          <t>VARILLA RUBI</t>
        </is>
      </c>
      <c r="D246" s="6" t="inlineStr">
        <is>
          <t>CONSYDECOR SL</t>
        </is>
      </c>
      <c r="E246" s="4" t="n">
        <v>34.36</v>
      </c>
      <c r="F246" s="6" t="n"/>
    </row>
    <row r="247">
      <c r="A247" s="6" t="inlineStr">
        <is>
          <t>1.361,00</t>
        </is>
      </c>
      <c r="B247" s="6" t="inlineStr">
        <is>
          <t>14/05/2026</t>
        </is>
      </c>
      <c r="C247" s="6" t="inlineStr">
        <is>
          <t>SERVICIO HOSTELERIA</t>
        </is>
      </c>
      <c r="D247" s="6" t="inlineStr">
        <is>
          <t>MAZA CONSTRUCCIONES Y CONTRATAS SOCIEDAD LIMITADA.</t>
        </is>
      </c>
      <c r="E247" s="4" t="n">
        <v>95.86</v>
      </c>
      <c r="F247" s="6" t="n"/>
    </row>
    <row r="248">
      <c r="A248" s="6" t="inlineStr">
        <is>
          <t>1.360,00</t>
        </is>
      </c>
      <c r="B248" s="6" t="inlineStr">
        <is>
          <t>14/05/2026</t>
        </is>
      </c>
      <c r="C248" s="6" t="inlineStr">
        <is>
          <t>GASOLINA MAYO</t>
        </is>
      </c>
      <c r="D248" s="6" t="inlineStr">
        <is>
          <t>PLENOIL SL.</t>
        </is>
      </c>
      <c r="E248" s="4" t="n">
        <v>886.1900000000001</v>
      </c>
      <c r="F248" s="6" t="n"/>
    </row>
    <row r="249">
      <c r="A249" s="6" t="inlineStr">
        <is>
          <t>1.359,00</t>
        </is>
      </c>
      <c r="B249" s="6" t="inlineStr">
        <is>
          <t>14/05/2026</t>
        </is>
      </c>
      <c r="C249" s="6" t="inlineStr">
        <is>
          <t>IGUALA POR ASESORIA LABORAL</t>
        </is>
      </c>
      <c r="D249" s="6" t="inlineStr"/>
      <c r="E249" s="4" t="n">
        <v>870</v>
      </c>
      <c r="F249" s="6" t="n"/>
    </row>
    <row r="250">
      <c r="A250" s="6" t="inlineStr">
        <is>
          <t>1.358,00</t>
        </is>
      </c>
      <c r="B250" s="6" t="inlineStr">
        <is>
          <t>14/05/2026</t>
        </is>
      </c>
      <c r="C250" s="6" t="inlineStr">
        <is>
          <t>ASESORAMIENTO JUNIO</t>
        </is>
      </c>
      <c r="D250" s="6" t="inlineStr"/>
      <c r="E250" s="4" t="n">
        <v>500</v>
      </c>
      <c r="F250" s="6" t="n"/>
    </row>
    <row r="251">
      <c r="A251" s="6" t="inlineStr">
        <is>
          <t>1.357,00</t>
        </is>
      </c>
      <c r="B251" s="6" t="inlineStr">
        <is>
          <t>14/05/2026</t>
        </is>
      </c>
      <c r="C251" s="6" t="inlineStr">
        <is>
          <t>ALQUILER NAVE JUNIO</t>
        </is>
      </c>
      <c r="D251" s="6" t="inlineStr">
        <is>
          <t>PINKY VELVET INTERNATIONAL SL</t>
        </is>
      </c>
      <c r="E251" s="4" t="n">
        <v>350</v>
      </c>
      <c r="F251" s="6" t="n"/>
    </row>
    <row r="252">
      <c r="A252" s="6" t="inlineStr">
        <is>
          <t>1.355,00</t>
        </is>
      </c>
      <c r="B252" s="6" t="inlineStr">
        <is>
          <t>14/05/2026</t>
        </is>
      </c>
      <c r="C252" s="6" t="inlineStr">
        <is>
          <t>PANTALÓN TRABAJO</t>
        </is>
      </c>
      <c r="D252" s="6" t="inlineStr">
        <is>
          <t>FORMATO DIGITAL ACTIVIDADES PUBLICITARIAS SOCIEDAD LIMITADA.</t>
        </is>
      </c>
      <c r="E252" s="4" t="n">
        <v>29.65</v>
      </c>
      <c r="F252" s="6" t="n"/>
    </row>
    <row r="253">
      <c r="A253" s="6" t="inlineStr">
        <is>
          <t>1.354,00</t>
        </is>
      </c>
      <c r="B253" s="6" t="inlineStr">
        <is>
          <t>14/05/2026</t>
        </is>
      </c>
      <c r="C253" s="6" t="inlineStr">
        <is>
          <t>PANTALONES TRABAJO</t>
        </is>
      </c>
      <c r="D253" s="6" t="inlineStr">
        <is>
          <t>FORMATO DIGITAL ACTIVIDADES PUBLICITARIAS SOCIEDAD LIMITADA.</t>
        </is>
      </c>
      <c r="E253" s="4" t="n">
        <v>242.35</v>
      </c>
      <c r="F253" s="6" t="n"/>
    </row>
    <row r="254">
      <c r="A254" s="6" t="inlineStr">
        <is>
          <t>1.353,00</t>
        </is>
      </c>
      <c r="B254" s="6" t="inlineStr">
        <is>
          <t>14/05/2026</t>
        </is>
      </c>
      <c r="C254" s="6" t="inlineStr">
        <is>
          <t>SARGENTO DE APRIETE</t>
        </is>
      </c>
      <c r="D254" s="6" t="inlineStr">
        <is>
          <t>DISTRIBUCION QING YONG SL</t>
        </is>
      </c>
      <c r="E254" s="4" t="n">
        <v>7.11</v>
      </c>
      <c r="F254" s="6" t="n"/>
    </row>
    <row r="255">
      <c r="A255" s="6" t="inlineStr">
        <is>
          <t>1.352,00</t>
        </is>
      </c>
      <c r="B255" s="6" t="inlineStr">
        <is>
          <t>14/05/2026</t>
        </is>
      </c>
      <c r="C255" s="6" t="inlineStr">
        <is>
          <t>NATURGY MAYO</t>
        </is>
      </c>
      <c r="D255" s="6" t="inlineStr">
        <is>
          <t>NATURGY IBERIA SA.</t>
        </is>
      </c>
      <c r="E255" s="4" t="n">
        <v>21.38</v>
      </c>
      <c r="F255" s="6" t="n"/>
    </row>
    <row r="256">
      <c r="A256" s="6" t="inlineStr">
        <is>
          <t>1.351,00</t>
        </is>
      </c>
      <c r="B256" s="6" t="inlineStr">
        <is>
          <t>14/05/2026</t>
        </is>
      </c>
      <c r="C256" s="6" t="inlineStr">
        <is>
          <t>JAZZTEL MAYO</t>
        </is>
      </c>
      <c r="D256" s="6" t="inlineStr">
        <is>
          <t>ORANGE ESPAGNE SAU.</t>
        </is>
      </c>
      <c r="E256" s="4" t="n">
        <v>43.64</v>
      </c>
      <c r="F256" s="6" t="n"/>
    </row>
    <row r="257">
      <c r="A257" s="6" t="inlineStr">
        <is>
          <t>1.350,00</t>
        </is>
      </c>
      <c r="B257" s="6" t="inlineStr">
        <is>
          <t>14/05/2026</t>
        </is>
      </c>
      <c r="C257" s="6" t="inlineStr">
        <is>
          <t>LAVDERO COCHE</t>
        </is>
      </c>
      <c r="D257" s="6" t="inlineStr">
        <is>
          <t>DANIEL SLACEDO TORO</t>
        </is>
      </c>
      <c r="E257" s="4" t="n">
        <v>29.75</v>
      </c>
      <c r="F257" s="6" t="n"/>
    </row>
    <row r="258">
      <c r="A258" s="6" t="inlineStr">
        <is>
          <t>1.349,00</t>
        </is>
      </c>
      <c r="B258" s="6" t="inlineStr">
        <is>
          <t>14/05/2026</t>
        </is>
      </c>
      <c r="C258" s="6" t="inlineStr">
        <is>
          <t>SOMBRILLA</t>
        </is>
      </c>
      <c r="D258" s="6" t="inlineStr">
        <is>
          <t>JYSK DBL IBERIA SLU</t>
        </is>
      </c>
      <c r="E258" s="4" t="n">
        <v>291.32</v>
      </c>
      <c r="F258" s="6" t="n"/>
    </row>
    <row r="259">
      <c r="A259" s="6" t="inlineStr">
        <is>
          <t>1.348,00</t>
        </is>
      </c>
      <c r="B259" s="6" t="inlineStr">
        <is>
          <t>14/05/2026</t>
        </is>
      </c>
      <c r="C259" s="6" t="inlineStr">
        <is>
          <t>MOBILIARIO</t>
        </is>
      </c>
      <c r="D259" s="6" t="inlineStr">
        <is>
          <t>JYSK DBL IBERIA SLU</t>
        </is>
      </c>
      <c r="E259" s="4" t="n">
        <v>96.31</v>
      </c>
      <c r="F259" s="6" t="n"/>
    </row>
    <row r="260">
      <c r="A260" s="6" t="inlineStr">
        <is>
          <t>1.347,00</t>
        </is>
      </c>
      <c r="B260" s="6" t="inlineStr">
        <is>
          <t>14/05/2026</t>
        </is>
      </c>
      <c r="C260" s="6" t="inlineStr">
        <is>
          <t>MATERIAL OFICINA</t>
        </is>
      </c>
      <c r="D260" s="6" t="inlineStr">
        <is>
          <t>LOPA PAPER SL.</t>
        </is>
      </c>
      <c r="E260" s="4" t="n">
        <v>2.98</v>
      </c>
      <c r="F260" s="6" t="n"/>
    </row>
    <row r="261">
      <c r="A261" s="6" t="inlineStr">
        <is>
          <t>1.346,00</t>
        </is>
      </c>
      <c r="B261" s="6" t="inlineStr">
        <is>
          <t>14/05/2026</t>
        </is>
      </c>
      <c r="C261" s="6" t="inlineStr">
        <is>
          <t>MATERIAL OFICINA</t>
        </is>
      </c>
      <c r="D261" s="6" t="inlineStr">
        <is>
          <t>LOPA PAPER SL.</t>
        </is>
      </c>
      <c r="E261" s="4" t="n">
        <v>18.36</v>
      </c>
      <c r="F261" s="6" t="n"/>
    </row>
    <row r="262">
      <c r="A262" s="6" t="inlineStr">
        <is>
          <t>1.345,00</t>
        </is>
      </c>
      <c r="B262" s="6" t="inlineStr">
        <is>
          <t>14/05/2026</t>
        </is>
      </c>
      <c r="C262" s="6" t="inlineStr">
        <is>
          <t>VARIOS JARDÍN</t>
        </is>
      </c>
      <c r="D262" s="6" t="inlineStr">
        <is>
          <t>COOPERATIVA AGÍCOLA DE PETREL C.V.</t>
        </is>
      </c>
      <c r="E262" s="4" t="n">
        <v>40.07</v>
      </c>
      <c r="F262" s="6" t="n"/>
    </row>
    <row r="263">
      <c r="A263" s="6" t="inlineStr">
        <is>
          <t>1.344,00</t>
        </is>
      </c>
      <c r="B263" s="6" t="inlineStr">
        <is>
          <t>14/05/2026</t>
        </is>
      </c>
      <c r="C263" s="6" t="inlineStr">
        <is>
          <t>REPOSTAJE</t>
        </is>
      </c>
      <c r="D263" s="6" t="inlineStr">
        <is>
          <t>REPSOL COMERCIAL DE PRODUCTOS PETROLIFEROS SA</t>
        </is>
      </c>
      <c r="E263" s="4" t="n">
        <v>67.17</v>
      </c>
      <c r="F263" s="6" t="n"/>
    </row>
    <row r="264">
      <c r="A264" s="6" t="inlineStr">
        <is>
          <t>1.343,00</t>
        </is>
      </c>
      <c r="B264" s="6" t="inlineStr">
        <is>
          <t>14/05/2026</t>
        </is>
      </c>
      <c r="C264" s="6" t="inlineStr">
        <is>
          <t>CARTUCHO TINTA</t>
        </is>
      </c>
      <c r="D264" s="6" t="inlineStr">
        <is>
          <t>LOPA PAPER SL.</t>
        </is>
      </c>
      <c r="E264" s="4" t="n">
        <v>52.48</v>
      </c>
      <c r="F264" s="6" t="n"/>
    </row>
    <row r="265">
      <c r="A265" s="6" t="inlineStr">
        <is>
          <t>1.342,00</t>
        </is>
      </c>
      <c r="B265" s="6" t="inlineStr">
        <is>
          <t>14/05/2026</t>
        </is>
      </c>
      <c r="C265" s="6" t="inlineStr">
        <is>
          <t>VARIOS</t>
        </is>
      </c>
      <c r="D265" s="6" t="inlineStr">
        <is>
          <t>ACTION RETAIL SPAIN SL.</t>
        </is>
      </c>
      <c r="E265" s="4" t="n">
        <v>96.31</v>
      </c>
      <c r="F265" s="6" t="n"/>
    </row>
    <row r="266">
      <c r="A266" s="6" t="inlineStr">
        <is>
          <t>1.341,00</t>
        </is>
      </c>
      <c r="B266" s="6" t="inlineStr">
        <is>
          <t>14/05/2026</t>
        </is>
      </c>
      <c r="C266" s="6" t="inlineStr">
        <is>
          <t>HOLDED JUNIO</t>
        </is>
      </c>
      <c r="D266" s="6" t="inlineStr">
        <is>
          <t>HOLDED TECHNOLOGIES SL.</t>
        </is>
      </c>
      <c r="E266" s="4" t="n">
        <v>59</v>
      </c>
      <c r="F266" s="6" t="n"/>
    </row>
    <row r="267">
      <c r="A267" s="6" t="inlineStr">
        <is>
          <t>1.340,00</t>
        </is>
      </c>
      <c r="B267" s="6" t="inlineStr">
        <is>
          <t>14/05/2026</t>
        </is>
      </c>
      <c r="C267" s="6" t="inlineStr">
        <is>
          <t>CAJA</t>
        </is>
      </c>
      <c r="D267" s="6" t="inlineStr">
        <is>
          <t>JYSK DBL IBERIA SLU</t>
        </is>
      </c>
      <c r="E267" s="4" t="n">
        <v>8.93</v>
      </c>
      <c r="F267" s="6" t="n"/>
    </row>
    <row r="268">
      <c r="A268" s="6" t="inlineStr">
        <is>
          <t>1.339,00</t>
        </is>
      </c>
      <c r="B268" s="6" t="inlineStr">
        <is>
          <t>14/05/2026</t>
        </is>
      </c>
      <c r="C268" s="6" t="inlineStr">
        <is>
          <t>LONAS PUBLICIDAD</t>
        </is>
      </c>
      <c r="D268" s="6" t="inlineStr">
        <is>
          <t>INDICATIVO SL</t>
        </is>
      </c>
      <c r="E268" s="4" t="n">
        <v>1475</v>
      </c>
      <c r="F268" s="6" t="n"/>
    </row>
    <row r="269">
      <c r="A269" s="6" t="inlineStr">
        <is>
          <t>1.338,00</t>
        </is>
      </c>
      <c r="B269" s="6" t="inlineStr">
        <is>
          <t>14/05/2026</t>
        </is>
      </c>
      <c r="C269" s="6" t="inlineStr">
        <is>
          <t>VARIOS OFICINA</t>
        </is>
      </c>
      <c r="D269" s="6" t="inlineStr">
        <is>
          <t>ACTION RETAIL SPAIN SL.</t>
        </is>
      </c>
      <c r="E269" s="4" t="n">
        <v>29.85</v>
      </c>
      <c r="F269" s="6" t="n"/>
    </row>
    <row r="270">
      <c r="A270" s="6" t="inlineStr">
        <is>
          <t>1.337,00</t>
        </is>
      </c>
      <c r="B270" s="6" t="inlineStr">
        <is>
          <t>19/05/2026</t>
        </is>
      </c>
      <c r="C270" s="6" t="inlineStr">
        <is>
          <t>RECONOCIMINETOS MÉDICOS TRABJADORES</t>
        </is>
      </c>
      <c r="D270" s="6" t="inlineStr">
        <is>
          <t>EUROPREVEN SERVICIOS DE PREVENCION DE RIESGOS LABORALES SL</t>
        </is>
      </c>
      <c r="E270" s="4" t="n">
        <v>228</v>
      </c>
      <c r="F270" s="6" t="n"/>
    </row>
    <row r="271">
      <c r="A271" s="6" t="inlineStr">
        <is>
          <t>1.336,00</t>
        </is>
      </c>
      <c r="B271" s="6" t="inlineStr">
        <is>
          <t>19/05/2026</t>
        </is>
      </c>
      <c r="C271" s="6" t="inlineStr">
        <is>
          <t>GASOLINA JUNIO</t>
        </is>
      </c>
      <c r="D271" s="6" t="inlineStr">
        <is>
          <t>PLENOIL SL.</t>
        </is>
      </c>
      <c r="E271" s="4" t="n">
        <v>775.78</v>
      </c>
      <c r="F271" s="6" t="n"/>
    </row>
    <row r="272">
      <c r="A272" s="6" t="inlineStr">
        <is>
          <t>1.335,00</t>
        </is>
      </c>
      <c r="B272" s="6" t="inlineStr">
        <is>
          <t>19/05/2026</t>
        </is>
      </c>
      <c r="C272" s="6" t="inlineStr"/>
      <c r="D272" s="6" t="inlineStr">
        <is>
          <t>REPSOL COMERCIAL DE PRODUCTOS PETROLIFEROS SA</t>
        </is>
      </c>
      <c r="E272" s="4" t="n">
        <v>115.7</v>
      </c>
      <c r="F272" s="6" t="n"/>
    </row>
    <row r="273">
      <c r="A273" s="6" t="inlineStr">
        <is>
          <t>1.334,00</t>
        </is>
      </c>
      <c r="B273" s="6" t="inlineStr">
        <is>
          <t>19/05/2026</t>
        </is>
      </c>
      <c r="C273" s="6" t="inlineStr">
        <is>
          <t>PUNTALES</t>
        </is>
      </c>
      <c r="D273" s="6" t="inlineStr">
        <is>
          <t>SUMINISTROS INDUSTRIALES FARELL SA</t>
        </is>
      </c>
      <c r="E273" s="4" t="n">
        <v>4700</v>
      </c>
      <c r="F273" s="6" t="n"/>
    </row>
    <row r="274">
      <c r="A274" s="6" t="inlineStr">
        <is>
          <t>1.333,00</t>
        </is>
      </c>
      <c r="B274" s="6" t="inlineStr">
        <is>
          <t>19/05/2026</t>
        </is>
      </c>
      <c r="C274" s="6" t="inlineStr">
        <is>
          <t>ASESORIA LABORAL JUNIO</t>
        </is>
      </c>
      <c r="D274" s="6" t="inlineStr"/>
      <c r="E274" s="4" t="n">
        <v>70</v>
      </c>
      <c r="F274" s="6" t="n"/>
    </row>
    <row r="275">
      <c r="A275" s="6" t="inlineStr">
        <is>
          <t>1.332,00</t>
        </is>
      </c>
      <c r="B275" s="6" t="inlineStr">
        <is>
          <t>19/05/2026</t>
        </is>
      </c>
      <c r="C275" s="6" t="inlineStr">
        <is>
          <t>REPOSTAJE</t>
        </is>
      </c>
      <c r="D275" s="6" t="inlineStr">
        <is>
          <t>GALP ENERGIA ESPAÑA SAU</t>
        </is>
      </c>
      <c r="E275" s="4" t="n">
        <v>15.12</v>
      </c>
      <c r="F275" s="6" t="n"/>
    </row>
    <row r="276">
      <c r="A276" s="6" t="inlineStr">
        <is>
          <t>1.331,00</t>
        </is>
      </c>
      <c r="B276" s="6" t="inlineStr">
        <is>
          <t>19/05/2026</t>
        </is>
      </c>
      <c r="C276" s="6" t="inlineStr">
        <is>
          <t>REPOSTAJE</t>
        </is>
      </c>
      <c r="D276" s="6" t="inlineStr">
        <is>
          <t>REPSOL SOLUCIONES ENERGETICAS SA.</t>
        </is>
      </c>
      <c r="E276" s="4" t="n">
        <v>66.12</v>
      </c>
      <c r="F276" s="6" t="n"/>
    </row>
    <row r="277">
      <c r="A277" s="6" t="inlineStr">
        <is>
          <t>1.330,00</t>
        </is>
      </c>
      <c r="B277" s="6" t="inlineStr">
        <is>
          <t>19/05/2026</t>
        </is>
      </c>
      <c r="C277" s="6" t="inlineStr">
        <is>
          <t>FERRETERIA</t>
        </is>
      </c>
      <c r="D277" s="6" t="inlineStr">
        <is>
          <t>GENERAL DE SUMINISTROS LEOPOLDO SL</t>
        </is>
      </c>
      <c r="E277" s="4" t="n">
        <v>53.36</v>
      </c>
      <c r="F277" s="6" t="n"/>
    </row>
    <row r="278">
      <c r="A278" s="6" t="inlineStr">
        <is>
          <t>1.329,00</t>
        </is>
      </c>
      <c r="B278" s="6" t="inlineStr">
        <is>
          <t>19/05/2026</t>
        </is>
      </c>
      <c r="C278" s="6" t="inlineStr">
        <is>
          <t>FERRETERÍA</t>
        </is>
      </c>
      <c r="D278" s="6" t="inlineStr">
        <is>
          <t>GENERAL DE SUMINISTROS LEOPOLDO SL</t>
        </is>
      </c>
      <c r="E278" s="4" t="n">
        <v>127.87</v>
      </c>
      <c r="F278" s="6" t="n"/>
    </row>
    <row r="279">
      <c r="A279" s="6" t="inlineStr">
        <is>
          <t>1.328,00</t>
        </is>
      </c>
      <c r="B279" s="6" t="inlineStr">
        <is>
          <t>19/05/2026</t>
        </is>
      </c>
      <c r="C279" s="6" t="inlineStr">
        <is>
          <t>DIGI JUNIO</t>
        </is>
      </c>
      <c r="D279" s="6" t="inlineStr">
        <is>
          <t>DIGI SPAIN TELECOM SL</t>
        </is>
      </c>
      <c r="E279" s="4" t="n">
        <v>4.96</v>
      </c>
      <c r="F279" s="6" t="n"/>
    </row>
    <row r="280">
      <c r="A280" s="6" t="inlineStr">
        <is>
          <t>1.327,00</t>
        </is>
      </c>
      <c r="B280" s="6" t="inlineStr">
        <is>
          <t>11/06/2026</t>
        </is>
      </c>
      <c r="C280" s="6" t="inlineStr">
        <is>
          <t>ASESORAMIENTO JULIO</t>
        </is>
      </c>
      <c r="D280" s="6" t="inlineStr"/>
      <c r="E280" s="4" t="n">
        <v>500</v>
      </c>
      <c r="F280" s="6" t="n"/>
    </row>
    <row r="281">
      <c r="A281" s="6" t="inlineStr">
        <is>
          <t>1.326,00</t>
        </is>
      </c>
      <c r="B281" s="6" t="inlineStr">
        <is>
          <t>11/06/2026</t>
        </is>
      </c>
      <c r="C281" s="6" t="inlineStr">
        <is>
          <t>ALQUILER NAVE JULIO</t>
        </is>
      </c>
      <c r="D281" s="6" t="inlineStr">
        <is>
          <t>PINKY VELVET INTERNATIONAL SL</t>
        </is>
      </c>
      <c r="E281" s="4" t="n">
        <v>350</v>
      </c>
      <c r="F281" s="6" t="n"/>
    </row>
    <row r="282">
      <c r="A282" s="6" t="inlineStr">
        <is>
          <t>1.325,00</t>
        </is>
      </c>
      <c r="B282" s="6" t="inlineStr">
        <is>
          <t>11/06/2026</t>
        </is>
      </c>
      <c r="C282" s="6" t="inlineStr">
        <is>
          <t>NATURGY JUNIO</t>
        </is>
      </c>
      <c r="D282" s="6" t="inlineStr">
        <is>
          <t>NATURGY IBERIA SA.</t>
        </is>
      </c>
      <c r="E282" s="4" t="n">
        <v>19.88</v>
      </c>
      <c r="F282" s="6" t="n"/>
    </row>
    <row r="283">
      <c r="A283" s="6" t="inlineStr">
        <is>
          <t>1.324,00</t>
        </is>
      </c>
      <c r="B283" s="6" t="inlineStr">
        <is>
          <t>11/06/2026</t>
        </is>
      </c>
      <c r="C283" s="6" t="inlineStr">
        <is>
          <t>MESA JARDIN</t>
        </is>
      </c>
      <c r="D283" s="6" t="inlineStr">
        <is>
          <t>JYSK DBL IBERIA SLU</t>
        </is>
      </c>
      <c r="E283" s="4" t="n">
        <v>77.69</v>
      </c>
      <c r="F283" s="6" t="n"/>
    </row>
    <row r="284">
      <c r="A284" s="6" t="inlineStr">
        <is>
          <t>1.323,00</t>
        </is>
      </c>
      <c r="B284" s="6" t="inlineStr">
        <is>
          <t>11/06/2026</t>
        </is>
      </c>
      <c r="C284" s="6" t="inlineStr">
        <is>
          <t>VARIOS</t>
        </is>
      </c>
      <c r="D284" s="6" t="inlineStr">
        <is>
          <t>ACTION RETAIL SPAIN SL.</t>
        </is>
      </c>
      <c r="E284" s="4" t="n">
        <v>12.12</v>
      </c>
      <c r="F284" s="6" t="n"/>
    </row>
    <row r="285">
      <c r="A285" s="6" t="inlineStr">
        <is>
          <t>1.322,00</t>
        </is>
      </c>
      <c r="B285" s="6" t="inlineStr">
        <is>
          <t>11/06/2026</t>
        </is>
      </c>
      <c r="C285" s="6" t="inlineStr">
        <is>
          <t>VARIOS</t>
        </is>
      </c>
      <c r="D285" s="6" t="inlineStr">
        <is>
          <t>ACTION RETAIL SPAIN SL.</t>
        </is>
      </c>
      <c r="E285" s="4" t="n">
        <v>74.31</v>
      </c>
      <c r="F285" s="6" t="n"/>
    </row>
    <row r="286">
      <c r="A286" s="6" t="inlineStr">
        <is>
          <t>1.321,00</t>
        </is>
      </c>
      <c r="B286" s="6" t="inlineStr">
        <is>
          <t>11/06/2026</t>
        </is>
      </c>
      <c r="C286" s="6" t="inlineStr">
        <is>
          <t>JAZZTEL JUNIO</t>
        </is>
      </c>
      <c r="D286" s="6" t="inlineStr">
        <is>
          <t>ORANGE ESPAGNE SAU.</t>
        </is>
      </c>
      <c r="E286" s="4" t="n">
        <v>41.69</v>
      </c>
      <c r="F286" s="6" t="n"/>
    </row>
    <row r="287">
      <c r="A287" s="6" t="inlineStr">
        <is>
          <t>1.320,00</t>
        </is>
      </c>
      <c r="B287" s="6" t="inlineStr">
        <is>
          <t>11/06/2026</t>
        </is>
      </c>
      <c r="C287" s="6" t="inlineStr">
        <is>
          <t>REPOSTAJE</t>
        </is>
      </c>
      <c r="D287" s="6" t="inlineStr">
        <is>
          <t>REPSOL SOLUCIONES ENERGETICAS SA.</t>
        </is>
      </c>
      <c r="E287" s="4" t="n">
        <v>14.93</v>
      </c>
      <c r="F287" s="6" t="n"/>
    </row>
    <row r="288">
      <c r="A288" s="6" t="inlineStr">
        <is>
          <t>1.319,00</t>
        </is>
      </c>
      <c r="B288" s="6" t="inlineStr">
        <is>
          <t>11/06/2026</t>
        </is>
      </c>
      <c r="C288" s="6" t="inlineStr">
        <is>
          <t>VARIOS</t>
        </is>
      </c>
      <c r="D288" s="6" t="inlineStr">
        <is>
          <t>ACTION RETAIL SPAIN SL.</t>
        </is>
      </c>
      <c r="E288" s="4" t="n">
        <v>40.5</v>
      </c>
      <c r="F288" s="6" t="n"/>
    </row>
    <row r="289">
      <c r="A289" s="6" t="inlineStr">
        <is>
          <t>1.317,00</t>
        </is>
      </c>
      <c r="B289" s="6" t="inlineStr">
        <is>
          <t>11/06/2026</t>
        </is>
      </c>
      <c r="C289" s="6" t="inlineStr">
        <is>
          <t>REGALO</t>
        </is>
      </c>
      <c r="D289" s="6" t="inlineStr">
        <is>
          <t>DISTRIBUCIONES NOGUERAS SL</t>
        </is>
      </c>
      <c r="E289" s="4" t="n">
        <v>38.73</v>
      </c>
      <c r="F289" s="6" t="n"/>
    </row>
    <row r="290">
      <c r="A290" s="6" t="inlineStr">
        <is>
          <t>1.316,00</t>
        </is>
      </c>
      <c r="B290" s="6" t="inlineStr">
        <is>
          <t>11/06/2026</t>
        </is>
      </c>
      <c r="C290" s="6" t="inlineStr">
        <is>
          <t>TELÉFONO</t>
        </is>
      </c>
      <c r="D290" s="6" t="inlineStr">
        <is>
          <t>EVOTEK FUTURE SL.</t>
        </is>
      </c>
      <c r="E290" s="4" t="n">
        <v>644.63</v>
      </c>
      <c r="F290" s="6" t="n"/>
    </row>
    <row r="291">
      <c r="A291" s="6" t="inlineStr">
        <is>
          <t>1.315,00</t>
        </is>
      </c>
      <c r="B291" s="6" t="inlineStr">
        <is>
          <t>11/06/2026</t>
        </is>
      </c>
      <c r="C291" s="6" t="inlineStr">
        <is>
          <t>COPIAS PLANOS GRAN FORMATO</t>
        </is>
      </c>
      <c r="D291" s="6" t="inlineStr">
        <is>
          <t>DISEÑO EN UNA SERVILLETA SL.</t>
        </is>
      </c>
      <c r="E291" s="4" t="n">
        <v>27.9</v>
      </c>
      <c r="F291" s="6" t="n"/>
    </row>
    <row r="292">
      <c r="A292" s="6" t="inlineStr">
        <is>
          <t>1.314,00</t>
        </is>
      </c>
      <c r="B292" s="6" t="inlineStr">
        <is>
          <t>11/06/2026</t>
        </is>
      </c>
      <c r="C292" s="6" t="inlineStr">
        <is>
          <t>REPOSTAJE</t>
        </is>
      </c>
      <c r="D292" s="6" t="inlineStr">
        <is>
          <t>REPSOL SOLUCIONES ENERGETICAS SA.</t>
        </is>
      </c>
      <c r="E292" s="4" t="n">
        <v>15.65</v>
      </c>
      <c r="F292" s="6" t="n"/>
    </row>
    <row r="293">
      <c r="A293" s="6" t="inlineStr">
        <is>
          <t>1.313,00</t>
        </is>
      </c>
      <c r="B293" s="6" t="inlineStr">
        <is>
          <t>11/06/2026</t>
        </is>
      </c>
      <c r="C293" s="6" t="inlineStr">
        <is>
          <t>REPOSTAJE</t>
        </is>
      </c>
      <c r="D293" s="6" t="inlineStr">
        <is>
          <t>REPSOL SOLUCIONES ENERGETICAS SA.</t>
        </is>
      </c>
      <c r="E293" s="4" t="n">
        <v>65.06999999999999</v>
      </c>
      <c r="F293" s="6" t="n"/>
    </row>
    <row r="294">
      <c r="A294" s="6" t="inlineStr">
        <is>
          <t>1.312,00</t>
        </is>
      </c>
      <c r="B294" s="6" t="inlineStr">
        <is>
          <t>11/06/2026</t>
        </is>
      </c>
      <c r="C294" s="6" t="inlineStr">
        <is>
          <t>REPOSTAJE</t>
        </is>
      </c>
      <c r="D294" s="6" t="inlineStr">
        <is>
          <t>EXPLOTACION ESTACION DE SERVICIO SA</t>
        </is>
      </c>
      <c r="E294" s="4" t="n">
        <v>11.58</v>
      </c>
      <c r="F294" s="6" t="n"/>
    </row>
    <row r="295">
      <c r="A295" s="6" t="inlineStr">
        <is>
          <t>1.311,00</t>
        </is>
      </c>
      <c r="B295" s="6" t="inlineStr">
        <is>
          <t>11/06/2026</t>
        </is>
      </c>
      <c r="C295" s="6" t="inlineStr">
        <is>
          <t>RECONOCIMIENTOS MÉDICOS</t>
        </is>
      </c>
      <c r="D295" s="6" t="inlineStr">
        <is>
          <t>EUROPREVEN SERVICIOS DE PREVENCION DE RIESGOS LABORALES SL</t>
        </is>
      </c>
      <c r="E295" s="4" t="n">
        <v>114</v>
      </c>
      <c r="F295" s="6" t="n"/>
    </row>
    <row r="296">
      <c r="A296" s="6" t="inlineStr">
        <is>
          <t>1.310,00</t>
        </is>
      </c>
      <c r="B296" s="6" t="inlineStr">
        <is>
          <t>11/06/2026</t>
        </is>
      </c>
      <c r="C296" s="6" t="inlineStr">
        <is>
          <t>HOLDED JULIO</t>
        </is>
      </c>
      <c r="D296" s="6" t="inlineStr">
        <is>
          <t>HOLDED TECHNOLOGIES SL.</t>
        </is>
      </c>
      <c r="E296" s="4" t="n">
        <v>59</v>
      </c>
      <c r="F296" s="6" t="n"/>
    </row>
    <row r="297">
      <c r="A297" s="6" t="inlineStr">
        <is>
          <t>1.309,00</t>
        </is>
      </c>
      <c r="B297" s="6" t="inlineStr">
        <is>
          <t>11/06/2026</t>
        </is>
      </c>
      <c r="C297" s="6" t="inlineStr">
        <is>
          <t>DIGI JULIO</t>
        </is>
      </c>
      <c r="D297" s="6" t="inlineStr">
        <is>
          <t>DIGI SPAIN TELECOM SL</t>
        </is>
      </c>
      <c r="E297" s="4" t="n">
        <v>7.94</v>
      </c>
      <c r="F297" s="6" t="n"/>
    </row>
    <row r="298">
      <c r="A298" s="6" t="inlineStr">
        <is>
          <t>1.306,00</t>
        </is>
      </c>
      <c r="B298" s="6" t="inlineStr">
        <is>
          <t>11/06/2026</t>
        </is>
      </c>
      <c r="C298" s="6" t="inlineStr">
        <is>
          <t>TIRALINEAS</t>
        </is>
      </c>
      <c r="D298" s="6" t="inlineStr">
        <is>
          <t>FERRETERIA INDUSTRIAL CARRUS S.L.</t>
        </is>
      </c>
      <c r="E298" s="4" t="n">
        <v>38.12</v>
      </c>
      <c r="F298" s="6" t="n"/>
    </row>
    <row r="299">
      <c r="A299" s="6" t="inlineStr">
        <is>
          <t>1.305,00</t>
        </is>
      </c>
      <c r="B299" s="6" t="inlineStr">
        <is>
          <t>11/06/2026</t>
        </is>
      </c>
      <c r="C299" s="6" t="inlineStr">
        <is>
          <t>GASOLINA JULIO</t>
        </is>
      </c>
      <c r="D299" s="6" t="inlineStr">
        <is>
          <t>PLENOIL SL.</t>
        </is>
      </c>
      <c r="E299" s="4" t="n">
        <v>1019.98</v>
      </c>
      <c r="F299" s="6" t="n"/>
    </row>
    <row r="300">
      <c r="A300" s="6" t="inlineStr">
        <is>
          <t>1.304,00</t>
        </is>
      </c>
      <c r="B300" s="6" t="inlineStr">
        <is>
          <t>11/06/2026</t>
        </is>
      </c>
      <c r="C300" s="6" t="inlineStr">
        <is>
          <t>ASESORAMIENTO CONTABLE FISCAL</t>
        </is>
      </c>
      <c r="D300" s="6" t="inlineStr"/>
      <c r="E300" s="4" t="n">
        <v>500</v>
      </c>
      <c r="F300" s="6" t="n"/>
    </row>
    <row r="301">
      <c r="A301" s="6" t="inlineStr">
        <is>
          <t>1.303,00</t>
        </is>
      </c>
      <c r="B301" s="6" t="inlineStr">
        <is>
          <t>11/06/2026</t>
        </is>
      </c>
      <c r="C301" s="6" t="inlineStr">
        <is>
          <t>ALQUILER NAVE AGOSTO</t>
        </is>
      </c>
      <c r="D301" s="6" t="inlineStr">
        <is>
          <t>PINKY VELVET INTERNATIONAL SL</t>
        </is>
      </c>
      <c r="E301" s="4" t="n">
        <v>350</v>
      </c>
      <c r="F301" s="6" t="n"/>
    </row>
    <row r="302">
      <c r="A302" s="6" t="inlineStr">
        <is>
          <t>1.302,00</t>
        </is>
      </c>
      <c r="B302" s="6" t="inlineStr">
        <is>
          <t>11/06/2026</t>
        </is>
      </c>
      <c r="C302" s="6" t="inlineStr">
        <is>
          <t>NATURGY JULIO</t>
        </is>
      </c>
      <c r="D302" s="6" t="inlineStr">
        <is>
          <t>NATURGY IBERIA SA.</t>
        </is>
      </c>
      <c r="E302" s="4" t="n">
        <v>24.7</v>
      </c>
      <c r="F302" s="6" t="n"/>
    </row>
    <row r="303">
      <c r="A303" s="6" t="inlineStr">
        <is>
          <t>1.301,00</t>
        </is>
      </c>
      <c r="B303" s="6" t="inlineStr">
        <is>
          <t>11/06/2026</t>
        </is>
      </c>
      <c r="C303" s="6" t="inlineStr">
        <is>
          <t>JAZZTEL JULIO</t>
        </is>
      </c>
      <c r="D303" s="6" t="inlineStr">
        <is>
          <t>ORANGE ESPAGNE SAU.</t>
        </is>
      </c>
      <c r="E303" s="4" t="n">
        <v>41.49</v>
      </c>
      <c r="F303" s="6" t="n"/>
    </row>
    <row r="304">
      <c r="A304" s="6" t="inlineStr">
        <is>
          <t>1.299,00</t>
        </is>
      </c>
      <c r="B304" s="6" t="inlineStr">
        <is>
          <t>19/05/2026</t>
        </is>
      </c>
      <c r="C304" s="6" t="inlineStr">
        <is>
          <t>HIDRAQUA</t>
        </is>
      </c>
      <c r="D304" s="6" t="inlineStr">
        <is>
          <t>HIDRAQUA GESTIÓN INTEGRAL DE AGUAS DE LEVANTE SL</t>
        </is>
      </c>
      <c r="E304" s="4" t="n">
        <v>30.65</v>
      </c>
      <c r="F304" s="6" t="n"/>
    </row>
    <row r="305">
      <c r="A305" s="6" t="inlineStr">
        <is>
          <t>1.298,00</t>
        </is>
      </c>
      <c r="B305" s="6" t="inlineStr">
        <is>
          <t>11/06/2026</t>
        </is>
      </c>
      <c r="C305" s="6" t="inlineStr">
        <is>
          <t>VARIOS</t>
        </is>
      </c>
      <c r="D305" s="6" t="inlineStr">
        <is>
          <t>COOPERATIVA AGÍCOLA DE PETREL C.V.</t>
        </is>
      </c>
      <c r="E305" s="4" t="n">
        <v>51.67</v>
      </c>
      <c r="F305" s="6" t="n"/>
    </row>
    <row r="306">
      <c r="A306" s="6" t="inlineStr">
        <is>
          <t>1.297,00</t>
        </is>
      </c>
      <c r="B306" s="6" t="inlineStr">
        <is>
          <t>11/06/2026</t>
        </is>
      </c>
      <c r="C306" s="6" t="inlineStr">
        <is>
          <t>VARIOS</t>
        </is>
      </c>
      <c r="D306" s="6" t="inlineStr">
        <is>
          <t>COOPERATIVA AGÍCOLA DE PETREL C.V.</t>
        </is>
      </c>
      <c r="E306" s="4" t="n">
        <v>107.32</v>
      </c>
      <c r="F306" s="6" t="n"/>
    </row>
    <row r="307">
      <c r="A307" s="6" t="inlineStr">
        <is>
          <t>1.296,00</t>
        </is>
      </c>
      <c r="B307" s="6" t="inlineStr">
        <is>
          <t>11/06/2026</t>
        </is>
      </c>
      <c r="C307" s="6" t="inlineStr">
        <is>
          <t>VARIOS</t>
        </is>
      </c>
      <c r="D307" s="6" t="inlineStr">
        <is>
          <t>CASH LEVANTE SL</t>
        </is>
      </c>
      <c r="E307" s="4" t="n">
        <v>67.95999999999999</v>
      </c>
      <c r="F307" s="6" t="n"/>
    </row>
    <row r="308">
      <c r="A308" s="6" t="inlineStr">
        <is>
          <t>1.295,00</t>
        </is>
      </c>
      <c r="B308" s="6" t="inlineStr">
        <is>
          <t>11/06/2026</t>
        </is>
      </c>
      <c r="C308" s="6" t="inlineStr">
        <is>
          <t>REPOSTAJE</t>
        </is>
      </c>
      <c r="D308" s="6" t="inlineStr">
        <is>
          <t>JR VIDAL RICO SL</t>
        </is>
      </c>
      <c r="E308" s="4" t="n">
        <v>33.06</v>
      </c>
      <c r="F308" s="6" t="n"/>
    </row>
    <row r="309">
      <c r="A309" s="6" t="inlineStr">
        <is>
          <t>1.294,00</t>
        </is>
      </c>
      <c r="B309" s="6" t="inlineStr">
        <is>
          <t>11/06/2026</t>
        </is>
      </c>
      <c r="C309" s="6" t="inlineStr">
        <is>
          <t>HOLDED AGOSTO</t>
        </is>
      </c>
      <c r="D309" s="6" t="inlineStr">
        <is>
          <t>HOLDED TECHNOLOGIES SL.</t>
        </is>
      </c>
      <c r="E309" s="4" t="n">
        <v>59</v>
      </c>
      <c r="F309" s="6" t="n"/>
    </row>
    <row r="310">
      <c r="A310" s="6" t="inlineStr">
        <is>
          <t>1.293,00</t>
        </is>
      </c>
      <c r="B310" s="6" t="inlineStr">
        <is>
          <t>11/06/2026</t>
        </is>
      </c>
      <c r="C310" s="6" t="inlineStr">
        <is>
          <t>DIGI AGOSTO</t>
        </is>
      </c>
      <c r="D310" s="6" t="inlineStr">
        <is>
          <t>DIGI SPAIN TELECOM SL</t>
        </is>
      </c>
      <c r="E310" s="4" t="n">
        <v>9.09</v>
      </c>
      <c r="F310" s="6" t="n"/>
    </row>
    <row r="311">
      <c r="A311" s="6" t="inlineStr">
        <is>
          <t>1.292,00</t>
        </is>
      </c>
      <c r="B311" s="6" t="inlineStr">
        <is>
          <t>11/06/2026</t>
        </is>
      </c>
      <c r="C311" s="6" t="inlineStr">
        <is>
          <t>LONA</t>
        </is>
      </c>
      <c r="D311" s="6" t="inlineStr">
        <is>
          <t>EMBARGOSALOBESTIA SL</t>
        </is>
      </c>
      <c r="E311" s="4" t="n">
        <v>16.52</v>
      </c>
      <c r="F311" s="6" t="n"/>
    </row>
    <row r="312">
      <c r="A312" s="6" t="inlineStr">
        <is>
          <t>1.291,00</t>
        </is>
      </c>
      <c r="B312" s="6" t="inlineStr">
        <is>
          <t>14/05/2026</t>
        </is>
      </c>
      <c r="C312" s="6" t="inlineStr">
        <is>
          <t>CARPA CENADOR</t>
        </is>
      </c>
      <c r="D312" s="6" t="inlineStr">
        <is>
          <t>EMBARGOSALOBESTIA SL</t>
        </is>
      </c>
      <c r="E312" s="4" t="n">
        <v>43.79</v>
      </c>
      <c r="F312" s="6" t="n"/>
    </row>
    <row r="313">
      <c r="A313" s="6" t="inlineStr">
        <is>
          <t>1.290,00</t>
        </is>
      </c>
      <c r="B313" s="6" t="inlineStr">
        <is>
          <t>11/06/2026</t>
        </is>
      </c>
      <c r="C313" s="6" t="inlineStr">
        <is>
          <t>REPOSTAJE</t>
        </is>
      </c>
      <c r="D313" s="6" t="inlineStr">
        <is>
          <t>REPSOL SOLUCIONES ENERGETICAS SA.</t>
        </is>
      </c>
      <c r="E313" s="4" t="n">
        <v>57.85</v>
      </c>
      <c r="F313" s="6" t="n"/>
    </row>
    <row r="314">
      <c r="A314" s="6" t="inlineStr">
        <is>
          <t>1.289,00</t>
        </is>
      </c>
      <c r="B314" s="6" t="inlineStr">
        <is>
          <t>11/06/2026</t>
        </is>
      </c>
      <c r="C314" s="6" t="inlineStr">
        <is>
          <t>HORAS MINI</t>
        </is>
      </c>
      <c r="D314" s="6" t="inlineStr">
        <is>
          <t>TREXGRUCO SL.</t>
        </is>
      </c>
      <c r="E314" s="4" t="n">
        <v>360</v>
      </c>
      <c r="F314" s="6" t="n"/>
    </row>
    <row r="315">
      <c r="A315" s="6" t="inlineStr">
        <is>
          <t>1.288,00</t>
        </is>
      </c>
      <c r="B315" s="6" t="inlineStr">
        <is>
          <t>11/06/2026</t>
        </is>
      </c>
      <c r="C315" s="6" t="inlineStr">
        <is>
          <t>GASOLINA AGOSTO</t>
        </is>
      </c>
      <c r="D315" s="6" t="inlineStr">
        <is>
          <t>PLENOIL SL.</t>
        </is>
      </c>
      <c r="E315" s="4" t="n">
        <v>437.37</v>
      </c>
      <c r="F315" s="6" t="n"/>
    </row>
    <row r="316">
      <c r="A316" s="6" t="inlineStr">
        <is>
          <t>1.287,00</t>
        </is>
      </c>
      <c r="B316" s="6" t="inlineStr">
        <is>
          <t>11/06/2026</t>
        </is>
      </c>
      <c r="C316" s="6" t="inlineStr">
        <is>
          <t>ASESORÍA LABORAL AGOSTO</t>
        </is>
      </c>
      <c r="D316" s="6" t="inlineStr"/>
      <c r="E316" s="4" t="n">
        <v>70</v>
      </c>
      <c r="F316" s="6" t="n"/>
    </row>
    <row r="317">
      <c r="A317" s="6" t="inlineStr">
        <is>
          <t>1.286,00</t>
        </is>
      </c>
      <c r="B317" s="6" t="inlineStr">
        <is>
          <t>11/06/2026</t>
        </is>
      </c>
      <c r="C317" s="6" t="inlineStr">
        <is>
          <t>ALQUILER NAVE SEPTIEMBRE</t>
        </is>
      </c>
      <c r="D317" s="6" t="inlineStr">
        <is>
          <t>PINKY VELVET INTERNATIONAL SL</t>
        </is>
      </c>
      <c r="E317" s="4" t="n">
        <v>350</v>
      </c>
      <c r="F317" s="6" t="n"/>
    </row>
    <row r="318">
      <c r="A318" s="6" t="inlineStr">
        <is>
          <t>1.285,00</t>
        </is>
      </c>
      <c r="B318" s="6" t="inlineStr">
        <is>
          <t>11/06/2026</t>
        </is>
      </c>
      <c r="C318" s="6" t="inlineStr">
        <is>
          <t>ASESORAMIENTO CONTABLE FISCAL</t>
        </is>
      </c>
      <c r="D318" s="6" t="inlineStr"/>
      <c r="E318" s="4" t="n">
        <v>500</v>
      </c>
      <c r="F318" s="6" t="n"/>
    </row>
    <row r="319">
      <c r="A319" s="6" t="inlineStr">
        <is>
          <t>1.284,00</t>
        </is>
      </c>
      <c r="B319" s="6" t="inlineStr">
        <is>
          <t>11/06/2026</t>
        </is>
      </c>
      <c r="C319" s="6" t="inlineStr">
        <is>
          <t>NATURGY AGOSTO</t>
        </is>
      </c>
      <c r="D319" s="6" t="inlineStr">
        <is>
          <t>NATURGY IBERIA SA.</t>
        </is>
      </c>
      <c r="E319" s="4" t="n">
        <v>19.68</v>
      </c>
      <c r="F319" s="6" t="n"/>
    </row>
    <row r="320">
      <c r="A320" s="6" t="inlineStr">
        <is>
          <t>1.283,00</t>
        </is>
      </c>
      <c r="B320" s="6" t="inlineStr">
        <is>
          <t>14/05/2026</t>
        </is>
      </c>
      <c r="C320" s="6" t="inlineStr">
        <is>
          <t>DIESEL</t>
        </is>
      </c>
      <c r="D320" s="6" t="inlineStr">
        <is>
          <t>EUROBAMAS SL</t>
        </is>
      </c>
      <c r="E320" s="4" t="n">
        <v>18.6</v>
      </c>
      <c r="F320" s="6" t="n"/>
    </row>
    <row r="321">
      <c r="A321" s="6" t="inlineStr">
        <is>
          <t>1.282,00</t>
        </is>
      </c>
      <c r="B321" s="6" t="inlineStr">
        <is>
          <t>14/05/2026</t>
        </is>
      </c>
      <c r="C321" s="6" t="inlineStr">
        <is>
          <t>JAZZTEL AGOSTO</t>
        </is>
      </c>
      <c r="D321" s="6" t="inlineStr">
        <is>
          <t>ORANGE ESPAGNE SAU.</t>
        </is>
      </c>
      <c r="E321" s="4" t="n">
        <v>41.28</v>
      </c>
      <c r="F321" s="6" t="n"/>
    </row>
    <row r="322">
      <c r="A322" s="6" t="inlineStr">
        <is>
          <t>1.280,00</t>
        </is>
      </c>
      <c r="B322" s="6" t="inlineStr">
        <is>
          <t>22/04/2026</t>
        </is>
      </c>
      <c r="C322" s="6" t="inlineStr">
        <is>
          <t>DISCO DIAMANTE MINI</t>
        </is>
      </c>
      <c r="D322" s="6" t="inlineStr">
        <is>
          <t>WURTH ESPAÑA SA</t>
        </is>
      </c>
      <c r="E322" s="4" t="n">
        <v>170.4</v>
      </c>
      <c r="F322" s="6" t="n"/>
    </row>
    <row r="323">
      <c r="A323" s="6" t="inlineStr">
        <is>
          <t>1.274,00</t>
        </is>
      </c>
      <c r="B323" s="6" t="inlineStr">
        <is>
          <t>15/04/2026</t>
        </is>
      </c>
      <c r="C323" s="6" t="inlineStr">
        <is>
          <t>JAZZTEL MARZ</t>
        </is>
      </c>
      <c r="D323" s="6" t="inlineStr">
        <is>
          <t>ORANGE ESPAGNE SAU.</t>
        </is>
      </c>
      <c r="E323" s="4" t="n">
        <v>31.66</v>
      </c>
      <c r="F323" s="6" t="n"/>
    </row>
    <row r="324">
      <c r="A324" s="6" t="inlineStr">
        <is>
          <t>1.271,00</t>
        </is>
      </c>
      <c r="B324" s="6" t="inlineStr">
        <is>
          <t>15/04/2026</t>
        </is>
      </c>
      <c r="C324" s="6" t="inlineStr">
        <is>
          <t>REPOSTAJE</t>
        </is>
      </c>
      <c r="D324" s="6" t="inlineStr">
        <is>
          <t>E.S. PINOSO S.L.</t>
        </is>
      </c>
      <c r="E324" s="4" t="n">
        <v>69.08</v>
      </c>
      <c r="F324" s="6" t="n"/>
    </row>
    <row r="325">
      <c r="A325" s="6" t="inlineStr">
        <is>
          <t>1.270,00</t>
        </is>
      </c>
      <c r="B325" s="6" t="inlineStr">
        <is>
          <t>15/04/2026</t>
        </is>
      </c>
      <c r="C325" s="6" t="inlineStr">
        <is>
          <t>CONECTA 3 MARZO</t>
        </is>
      </c>
      <c r="D325" s="6" t="inlineStr"/>
      <c r="E325" s="4" t="n">
        <v>44.66</v>
      </c>
      <c r="F325" s="6" t="n"/>
    </row>
    <row r="326">
      <c r="A326" s="6" t="inlineStr">
        <is>
          <t>1.264,00</t>
        </is>
      </c>
      <c r="B326" s="6" t="inlineStr">
        <is>
          <t>15/04/2026</t>
        </is>
      </c>
      <c r="C326" s="6" t="inlineStr">
        <is>
          <t>REPOSTAJE</t>
        </is>
      </c>
      <c r="D326" s="6" t="inlineStr">
        <is>
          <t>REPSOL SOLUCIONES ENERGETICAS SA.</t>
        </is>
      </c>
      <c r="E326" s="4" t="n">
        <v>72.34</v>
      </c>
      <c r="F326" s="6" t="n"/>
    </row>
    <row r="327">
      <c r="A327" s="6" t="inlineStr">
        <is>
          <t>1.257,00</t>
        </is>
      </c>
      <c r="B327" s="6" t="inlineStr">
        <is>
          <t>15/04/2026</t>
        </is>
      </c>
      <c r="C327" s="6" t="inlineStr">
        <is>
          <t>REPOSTAJE</t>
        </is>
      </c>
      <c r="D327" s="6" t="inlineStr">
        <is>
          <t>REPSOL SOLUCIONES ENERGETICAS SA.</t>
        </is>
      </c>
      <c r="E327" s="4" t="n">
        <v>75.8</v>
      </c>
      <c r="F327" s="6" t="n"/>
    </row>
    <row r="328">
      <c r="A328" s="6" t="inlineStr">
        <is>
          <t>1.255,00</t>
        </is>
      </c>
      <c r="B328" s="6" t="inlineStr">
        <is>
          <t>15/04/2026</t>
        </is>
      </c>
      <c r="C328" s="6" t="inlineStr">
        <is>
          <t>PLENOIL MARZO</t>
        </is>
      </c>
      <c r="D328" s="6" t="inlineStr">
        <is>
          <t>PLENOIL SL.</t>
        </is>
      </c>
      <c r="E328" s="4" t="n">
        <v>1557.38</v>
      </c>
      <c r="F328" s="6" t="n"/>
    </row>
    <row r="329">
      <c r="A329" s="6" t="inlineStr">
        <is>
          <t>1.254,00</t>
        </is>
      </c>
      <c r="B329" s="6" t="inlineStr">
        <is>
          <t>15/04/2026</t>
        </is>
      </c>
      <c r="C329" s="6" t="inlineStr">
        <is>
          <t>GRUA</t>
        </is>
      </c>
      <c r="D329" s="6" t="inlineStr">
        <is>
          <t>GRUAS Y MAQUINARIA PETREL SL</t>
        </is>
      </c>
      <c r="E329" s="4" t="n">
        <v>480</v>
      </c>
      <c r="F329" s="6" t="n"/>
    </row>
    <row r="330">
      <c r="A330" s="6" t="inlineStr">
        <is>
          <t>1.245,00</t>
        </is>
      </c>
      <c r="B330" s="6" t="inlineStr">
        <is>
          <t>14/04/2026</t>
        </is>
      </c>
      <c r="C330" s="6" t="inlineStr">
        <is>
          <t>ASESORAMIENTO LABORAL MARZO</t>
        </is>
      </c>
      <c r="D330" s="6" t="inlineStr"/>
      <c r="E330" s="4" t="n">
        <v>260</v>
      </c>
      <c r="F330" s="6" t="n"/>
    </row>
    <row r="331">
      <c r="A331" s="6" t="inlineStr">
        <is>
          <t>1.237,00</t>
        </is>
      </c>
      <c r="B331" s="6" t="inlineStr">
        <is>
          <t>07/04/2026</t>
        </is>
      </c>
      <c r="C331" s="6" t="inlineStr">
        <is>
          <t>MATERIAL</t>
        </is>
      </c>
      <c r="D331" s="6" t="inlineStr">
        <is>
          <t>DISTRIBUCION QING YONG SL</t>
        </is>
      </c>
      <c r="E331" s="4" t="n">
        <v>16.86</v>
      </c>
      <c r="F331" s="6" t="n"/>
    </row>
    <row r="332">
      <c r="A332" s="6" t="inlineStr">
        <is>
          <t>1.236,00</t>
        </is>
      </c>
      <c r="B332" s="6" t="inlineStr">
        <is>
          <t>07/04/2026</t>
        </is>
      </c>
      <c r="C332" s="6" t="inlineStr">
        <is>
          <t>MAGUERA Y ADAPTADORES</t>
        </is>
      </c>
      <c r="D332" s="6" t="inlineStr">
        <is>
          <t>COMERFONSA SL</t>
        </is>
      </c>
      <c r="E332" s="4" t="n">
        <v>74.18000000000001</v>
      </c>
      <c r="F332" s="6" t="n"/>
    </row>
    <row r="333">
      <c r="A333" s="6" t="inlineStr">
        <is>
          <t>1.235,00</t>
        </is>
      </c>
      <c r="B333" s="6" t="inlineStr">
        <is>
          <t>07/04/2026</t>
        </is>
      </c>
      <c r="C333" s="6" t="inlineStr">
        <is>
          <t>REPOSTAJE</t>
        </is>
      </c>
      <c r="D333" s="6" t="inlineStr">
        <is>
          <t>E.S. PINOSO S.L.</t>
        </is>
      </c>
      <c r="E333" s="4" t="n">
        <v>56.86</v>
      </c>
      <c r="F333" s="6" t="n"/>
    </row>
    <row r="334">
      <c r="A334" s="6" t="inlineStr">
        <is>
          <t>1.233,00</t>
        </is>
      </c>
      <c r="B334" s="6" t="inlineStr">
        <is>
          <t>07/04/2026</t>
        </is>
      </c>
      <c r="C334" s="6" t="inlineStr">
        <is>
          <t>REPOSTAJE</t>
        </is>
      </c>
      <c r="D334" s="6" t="inlineStr">
        <is>
          <t>MOEVE RETAIL OPERATIONS S.A.U.</t>
        </is>
      </c>
      <c r="E334" s="4" t="n">
        <v>17.65</v>
      </c>
      <c r="F334" s="6" t="n"/>
    </row>
    <row r="335">
      <c r="A335" s="6" t="inlineStr">
        <is>
          <t>1.232,00</t>
        </is>
      </c>
      <c r="B335" s="6" t="inlineStr">
        <is>
          <t>02/04/2026</t>
        </is>
      </c>
      <c r="C335" s="6" t="inlineStr">
        <is>
          <t>MARCO  + TAPADERA</t>
        </is>
      </c>
      <c r="D335" s="6" t="inlineStr">
        <is>
          <t>SALTOKI ELCHE SL.</t>
        </is>
      </c>
      <c r="E335" s="4" t="n">
        <v>-70.06999999999999</v>
      </c>
      <c r="F335" s="6" t="n"/>
    </row>
    <row r="336">
      <c r="A336" s="6" t="inlineStr">
        <is>
          <t>1.230,00</t>
        </is>
      </c>
      <c r="B336" s="6" t="inlineStr">
        <is>
          <t>02/04/2026</t>
        </is>
      </c>
      <c r="C336" s="6" t="inlineStr">
        <is>
          <t>MARCO  + TAPADERA</t>
        </is>
      </c>
      <c r="D336" s="6" t="inlineStr">
        <is>
          <t>SALTOKI ELCHE SL.</t>
        </is>
      </c>
      <c r="E336" s="4" t="n">
        <v>70.06999999999999</v>
      </c>
      <c r="F336" s="6" t="n"/>
    </row>
    <row r="337">
      <c r="A337" s="6" t="inlineStr">
        <is>
          <t>1.228,00</t>
        </is>
      </c>
      <c r="B337" s="6" t="inlineStr">
        <is>
          <t>02/04/2026</t>
        </is>
      </c>
      <c r="C337" s="6" t="inlineStr">
        <is>
          <t>REPOSTAJE</t>
        </is>
      </c>
      <c r="D337" s="6" t="inlineStr">
        <is>
          <t>EUROBAMAS SL</t>
        </is>
      </c>
      <c r="E337" s="4" t="n">
        <v>76.92</v>
      </c>
      <c r="F337" s="6" t="n"/>
    </row>
    <row r="338">
      <c r="A338" s="6" t="inlineStr">
        <is>
          <t>1.227,00</t>
        </is>
      </c>
      <c r="B338" s="6" t="inlineStr">
        <is>
          <t>02/04/2026</t>
        </is>
      </c>
      <c r="C338" s="6" t="inlineStr">
        <is>
          <t>PALA PLUS MARTILLO</t>
        </is>
      </c>
      <c r="D338" s="6" t="inlineStr">
        <is>
          <t>ESTABLECIMIENTOS DEMETRIO SL</t>
        </is>
      </c>
      <c r="E338" s="4" t="n">
        <v>14.04</v>
      </c>
      <c r="F338" s="6" t="n"/>
    </row>
    <row r="339">
      <c r="A339" s="6" t="inlineStr">
        <is>
          <t>1.226,00</t>
        </is>
      </c>
      <c r="B339" s="6" t="inlineStr">
        <is>
          <t>02/04/2026</t>
        </is>
      </c>
      <c r="C339" s="6" t="inlineStr">
        <is>
          <t>PARKING CANALEJAS</t>
        </is>
      </c>
      <c r="D339" s="6" t="inlineStr">
        <is>
          <t>PARKING 3000 SL</t>
        </is>
      </c>
      <c r="E339" s="4" t="n">
        <v>6.28</v>
      </c>
      <c r="F339" s="6" t="n"/>
    </row>
    <row r="340">
      <c r="A340" s="6" t="inlineStr">
        <is>
          <t>1.225,00</t>
        </is>
      </c>
      <c r="B340" s="6" t="inlineStr">
        <is>
          <t>02/04/2026</t>
        </is>
      </c>
      <c r="C340" s="6" t="inlineStr">
        <is>
          <t>REPOSTAJE</t>
        </is>
      </c>
      <c r="D340" s="6" t="inlineStr">
        <is>
          <t>ESTACION OMEGA ESPINARDO SL</t>
        </is>
      </c>
      <c r="E340" s="4" t="n">
        <v>17.5</v>
      </c>
      <c r="F340" s="6" t="n"/>
    </row>
    <row r="341">
      <c r="A341" s="6" t="inlineStr">
        <is>
          <t>1.222,00</t>
        </is>
      </c>
      <c r="B341" s="6" t="inlineStr">
        <is>
          <t>02/04/2026</t>
        </is>
      </c>
      <c r="C341" s="6" t="inlineStr">
        <is>
          <t>REPOSTAJE</t>
        </is>
      </c>
      <c r="D341" s="6" t="inlineStr">
        <is>
          <t>REPSOL SOLUCIONES ENERGETICAS SA.</t>
        </is>
      </c>
      <c r="E341" s="4" t="n">
        <v>60</v>
      </c>
      <c r="F341" s="6" t="n"/>
    </row>
    <row r="342">
      <c r="A342" s="6" t="inlineStr">
        <is>
          <t>1.219,00</t>
        </is>
      </c>
      <c r="B342" s="6" t="inlineStr">
        <is>
          <t>02/04/2026</t>
        </is>
      </c>
      <c r="C342" s="6" t="inlineStr">
        <is>
          <t>REPOSTAJE</t>
        </is>
      </c>
      <c r="D342" s="6" t="inlineStr">
        <is>
          <t>REPSOL SOLUCIONES ENERGETICAS SA.</t>
        </is>
      </c>
      <c r="E342" s="4" t="n">
        <v>60</v>
      </c>
      <c r="F342" s="6" t="n"/>
    </row>
    <row r="343">
      <c r="A343" s="6" t="inlineStr">
        <is>
          <t>1.218,00</t>
        </is>
      </c>
      <c r="B343" s="6" t="inlineStr">
        <is>
          <t>02/04/2026</t>
        </is>
      </c>
      <c r="C343" s="6" t="inlineStr">
        <is>
          <t>VARIOS</t>
        </is>
      </c>
      <c r="D343" s="6" t="inlineStr">
        <is>
          <t>FINA LIFANTE FLORES</t>
        </is>
      </c>
      <c r="E343" s="4" t="n">
        <v>11.24</v>
      </c>
      <c r="F343" s="6" t="n"/>
    </row>
    <row r="344">
      <c r="A344" s="6" t="inlineStr">
        <is>
          <t>1.199,00</t>
        </is>
      </c>
      <c r="B344" s="6" t="inlineStr">
        <is>
          <t>01/04/2026</t>
        </is>
      </c>
      <c r="C344" s="6" t="inlineStr">
        <is>
          <t>VARIOS</t>
        </is>
      </c>
      <c r="D344" s="6" t="inlineStr">
        <is>
          <t>DISTRIBUCION QING YONG SL</t>
        </is>
      </c>
      <c r="E344" s="4" t="n">
        <v>11.49</v>
      </c>
      <c r="F344" s="6" t="n"/>
    </row>
    <row r="345">
      <c r="A345" s="6" t="inlineStr">
        <is>
          <t>1.198,00</t>
        </is>
      </c>
      <c r="B345" s="6" t="inlineStr">
        <is>
          <t>01/04/2026</t>
        </is>
      </c>
      <c r="C345" s="6" t="inlineStr">
        <is>
          <t>REPOSTAJE</t>
        </is>
      </c>
      <c r="D345" s="6" t="inlineStr">
        <is>
          <t>E.S. PINOSO S.L.</t>
        </is>
      </c>
      <c r="E345" s="4" t="n">
        <v>61.98</v>
      </c>
      <c r="F345" s="6" t="n"/>
    </row>
    <row r="346">
      <c r="A346" s="6" t="inlineStr">
        <is>
          <t>1.197,00</t>
        </is>
      </c>
      <c r="B346" s="6" t="inlineStr">
        <is>
          <t>01/04/2026</t>
        </is>
      </c>
      <c r="C346" s="6" t="inlineStr">
        <is>
          <t>REPOSTAJE</t>
        </is>
      </c>
      <c r="D346" s="6" t="inlineStr">
        <is>
          <t>REPSOL SOLUCIONES ENERGETICAS SA.</t>
        </is>
      </c>
      <c r="E346" s="4" t="n">
        <v>24.79</v>
      </c>
      <c r="F346" s="6" t="n"/>
    </row>
    <row r="347">
      <c r="A347" s="6" t="inlineStr">
        <is>
          <t>1.196,00</t>
        </is>
      </c>
      <c r="B347" s="6" t="inlineStr">
        <is>
          <t>01/04/2026</t>
        </is>
      </c>
      <c r="C347" s="6" t="inlineStr">
        <is>
          <t>REPOSTAJE</t>
        </is>
      </c>
      <c r="D347" s="6" t="inlineStr">
        <is>
          <t>E.S. PINOSO S.L.</t>
        </is>
      </c>
      <c r="E347" s="4" t="n">
        <v>118.53</v>
      </c>
      <c r="F347" s="6" t="n"/>
    </row>
    <row r="348">
      <c r="A348" s="6" t="inlineStr">
        <is>
          <t>1.195,00</t>
        </is>
      </c>
      <c r="B348" s="6" t="inlineStr">
        <is>
          <t>01/04/2026</t>
        </is>
      </c>
      <c r="C348" s="6" t="inlineStr">
        <is>
          <t>PARKING CANALEJAS</t>
        </is>
      </c>
      <c r="D348" s="6" t="inlineStr">
        <is>
          <t>PARKING 3000 SL</t>
        </is>
      </c>
      <c r="E348" s="4" t="n">
        <v>12.6</v>
      </c>
      <c r="F348" s="6" t="n"/>
    </row>
    <row r="349">
      <c r="A349" s="6" t="inlineStr">
        <is>
          <t>1.194,00</t>
        </is>
      </c>
      <c r="B349" s="6" t="inlineStr">
        <is>
          <t>01/04/2026</t>
        </is>
      </c>
      <c r="C349" s="6" t="inlineStr">
        <is>
          <t>PARKING CANALEJAS</t>
        </is>
      </c>
      <c r="D349" s="6" t="inlineStr">
        <is>
          <t>PARKING 3000 SL</t>
        </is>
      </c>
      <c r="E349" s="4" t="n">
        <v>12.69</v>
      </c>
      <c r="F349" s="6" t="n"/>
    </row>
    <row r="350">
      <c r="A350" s="6" t="inlineStr">
        <is>
          <t>1.193,00</t>
        </is>
      </c>
      <c r="B350" s="6" t="inlineStr">
        <is>
          <t>01/04/2026</t>
        </is>
      </c>
      <c r="C350" s="6" t="inlineStr">
        <is>
          <t>PARKING CANALEJAS</t>
        </is>
      </c>
      <c r="D350" s="6" t="inlineStr">
        <is>
          <t>PARKING 3000 SL</t>
        </is>
      </c>
      <c r="E350" s="4" t="n">
        <v>11.94</v>
      </c>
      <c r="F350" s="6" t="n"/>
    </row>
    <row r="351">
      <c r="A351" s="6" t="inlineStr">
        <is>
          <t>1.192,00</t>
        </is>
      </c>
      <c r="B351" s="6" t="inlineStr">
        <is>
          <t>01/04/2026</t>
        </is>
      </c>
      <c r="C351" s="6" t="inlineStr">
        <is>
          <t>PARKING CANALEJAS</t>
        </is>
      </c>
      <c r="D351" s="6" t="inlineStr">
        <is>
          <t>PARKING 3000 SL</t>
        </is>
      </c>
      <c r="E351" s="4" t="n">
        <v>12.4</v>
      </c>
      <c r="F351" s="6" t="n"/>
    </row>
    <row r="352">
      <c r="A352" s="6" t="inlineStr">
        <is>
          <t>1.191,00</t>
        </is>
      </c>
      <c r="B352" s="6" t="inlineStr">
        <is>
          <t>01/04/2026</t>
        </is>
      </c>
      <c r="C352" s="6" t="inlineStr">
        <is>
          <t>PARKING CANALEJAS</t>
        </is>
      </c>
      <c r="D352" s="6" t="inlineStr">
        <is>
          <t>PARKING 3000 SL</t>
        </is>
      </c>
      <c r="E352" s="4" t="n">
        <v>8.6</v>
      </c>
      <c r="F352" s="6" t="n"/>
    </row>
    <row r="353">
      <c r="A353" s="6" t="inlineStr">
        <is>
          <t>1.190,00</t>
        </is>
      </c>
      <c r="B353" s="6" t="inlineStr">
        <is>
          <t>01/04/2026</t>
        </is>
      </c>
      <c r="C353" s="6" t="inlineStr">
        <is>
          <t>PARKING CANALEJAS</t>
        </is>
      </c>
      <c r="D353" s="6" t="inlineStr">
        <is>
          <t>PARKING 3000 SL</t>
        </is>
      </c>
      <c r="E353" s="4" t="n">
        <v>12.19</v>
      </c>
      <c r="F353" s="6" t="n"/>
    </row>
    <row r="354">
      <c r="A354" s="6" t="inlineStr">
        <is>
          <t>1.189,00</t>
        </is>
      </c>
      <c r="B354" s="6" t="inlineStr">
        <is>
          <t>01/04/2026</t>
        </is>
      </c>
      <c r="C354" s="6" t="inlineStr">
        <is>
          <t>REPOSTAJE</t>
        </is>
      </c>
      <c r="D354" s="6" t="inlineStr">
        <is>
          <t>REPSOL SOLUCIONES ENERGETICAS SA.</t>
        </is>
      </c>
      <c r="E354" s="4" t="n">
        <v>55</v>
      </c>
      <c r="F354" s="6" t="n"/>
    </row>
    <row r="355">
      <c r="A355" s="6" t="inlineStr">
        <is>
          <t>1.187,00</t>
        </is>
      </c>
      <c r="B355" s="6" t="inlineStr">
        <is>
          <t>31/03/2026</t>
        </is>
      </c>
      <c r="C355" s="6" t="inlineStr">
        <is>
          <t>RESPOSTAJE</t>
        </is>
      </c>
      <c r="D355" s="6" t="inlineStr">
        <is>
          <t>FLASH-CAR LEVANTE SERVICIOS SL</t>
        </is>
      </c>
      <c r="E355" s="4" t="n">
        <v>12.4</v>
      </c>
      <c r="F355" s="6" t="n"/>
    </row>
    <row r="356">
      <c r="A356" s="6" t="inlineStr">
        <is>
          <t>1.184,00</t>
        </is>
      </c>
      <c r="B356" s="6" t="inlineStr">
        <is>
          <t>31/03/2026</t>
        </is>
      </c>
      <c r="C356" s="6" t="inlineStr">
        <is>
          <t>REPOSATAJE</t>
        </is>
      </c>
      <c r="D356" s="6" t="inlineStr">
        <is>
          <t>EUROBAMAS SL</t>
        </is>
      </c>
      <c r="E356" s="4" t="n">
        <v>74.38</v>
      </c>
      <c r="F356" s="6" t="n"/>
    </row>
    <row r="357">
      <c r="A357" s="6" t="inlineStr">
        <is>
          <t>1.181,00</t>
        </is>
      </c>
      <c r="B357" s="6" t="inlineStr">
        <is>
          <t>31/03/2026</t>
        </is>
      </c>
      <c r="C357" s="6" t="inlineStr">
        <is>
          <t>REPOSTAJE</t>
        </is>
      </c>
      <c r="D357" s="6" t="inlineStr">
        <is>
          <t>EUROBAMAS SL</t>
        </is>
      </c>
      <c r="E357" s="4" t="n">
        <v>60.17</v>
      </c>
      <c r="F357" s="6" t="n"/>
    </row>
    <row r="358">
      <c r="A358" s="6" t="inlineStr">
        <is>
          <t>1.171,00</t>
        </is>
      </c>
      <c r="B358" s="6" t="inlineStr">
        <is>
          <t>20/03/2026</t>
        </is>
      </c>
      <c r="C358" s="6" t="inlineStr">
        <is>
          <t>ASESORAMIENTO CONTABLE FISCAL</t>
        </is>
      </c>
      <c r="D358" s="6" t="inlineStr"/>
      <c r="E358" s="4" t="n">
        <v>360.15</v>
      </c>
      <c r="F358" s="6" t="n"/>
    </row>
    <row r="359">
      <c r="A359" s="6" t="inlineStr">
        <is>
          <t>1.170,00</t>
        </is>
      </c>
      <c r="B359" s="6" t="inlineStr">
        <is>
          <t>20/03/2026</t>
        </is>
      </c>
      <c r="C359" s="6" t="inlineStr">
        <is>
          <t>ASESORAMIENTO CONTABLE FISCAL</t>
        </is>
      </c>
      <c r="D359" s="6" t="inlineStr"/>
      <c r="E359" s="4" t="n">
        <v>360.15</v>
      </c>
      <c r="F359" s="6" t="n"/>
    </row>
    <row r="360">
      <c r="A360" s="6" t="inlineStr">
        <is>
          <t>1.166,00</t>
        </is>
      </c>
      <c r="B360" s="6" t="inlineStr">
        <is>
          <t>20/03/2026</t>
        </is>
      </c>
      <c r="C360" s="6" t="inlineStr">
        <is>
          <t>MANGUERA RIEGO</t>
        </is>
      </c>
      <c r="D360" s="6" t="inlineStr">
        <is>
          <t>COMERFONSA SL</t>
        </is>
      </c>
      <c r="E360" s="4" t="n">
        <v>142.11</v>
      </c>
      <c r="F360" s="6" t="n"/>
    </row>
    <row r="361">
      <c r="A361" s="6" t="inlineStr">
        <is>
          <t>1.156,00</t>
        </is>
      </c>
      <c r="B361" s="6" t="inlineStr">
        <is>
          <t>18/03/2026</t>
        </is>
      </c>
      <c r="C361" s="6" t="inlineStr">
        <is>
          <t>MATERIAL</t>
        </is>
      </c>
      <c r="D361" s="6" t="inlineStr">
        <is>
          <t>BRICOLAJE BRICOMAN SLU</t>
        </is>
      </c>
      <c r="E361" s="4" t="n">
        <v>2.02</v>
      </c>
      <c r="F361" s="6" t="n"/>
    </row>
    <row r="362">
      <c r="A362" s="6" t="inlineStr">
        <is>
          <t>1.147,00</t>
        </is>
      </c>
      <c r="B362" s="6" t="inlineStr">
        <is>
          <t>16/03/2026</t>
        </is>
      </c>
      <c r="C362" s="6" t="inlineStr">
        <is>
          <t>ASESORIA LABORAL FEBRERO</t>
        </is>
      </c>
      <c r="D362" s="6" t="inlineStr"/>
      <c r="E362" s="4" t="n">
        <v>260</v>
      </c>
      <c r="F362" s="6" t="n"/>
    </row>
    <row r="363">
      <c r="A363" s="6" t="inlineStr">
        <is>
          <t>1.146,00</t>
        </is>
      </c>
      <c r="B363" s="6" t="inlineStr">
        <is>
          <t>16/03/2026</t>
        </is>
      </c>
      <c r="C363" s="6" t="inlineStr">
        <is>
          <t>MATERIAL</t>
        </is>
      </c>
      <c r="D363" s="6" t="inlineStr">
        <is>
          <t>MATERIALES DE CONSTRUCCION LOS CAPITOS SL.</t>
        </is>
      </c>
      <c r="E363" s="4" t="n">
        <v>21.82</v>
      </c>
      <c r="F363" s="6" t="n"/>
    </row>
    <row r="364">
      <c r="A364" s="6" t="inlineStr">
        <is>
          <t>1.145,00</t>
        </is>
      </c>
      <c r="B364" s="6" t="inlineStr">
        <is>
          <t>16/03/2026</t>
        </is>
      </c>
      <c r="C364" s="6" t="inlineStr">
        <is>
          <t>PUERTA RELLENABLE GALVANIZADA</t>
        </is>
      </c>
      <c r="D364" s="6" t="inlineStr">
        <is>
          <t>TOSANTO SL</t>
        </is>
      </c>
      <c r="E364" s="4" t="n">
        <v>105.08</v>
      </c>
      <c r="F364" s="6" t="n"/>
    </row>
    <row r="365">
      <c r="A365" s="6" t="inlineStr">
        <is>
          <t>1.144,00</t>
        </is>
      </c>
      <c r="B365" s="6" t="inlineStr">
        <is>
          <t>16/03/2026</t>
        </is>
      </c>
      <c r="C365" s="6" t="inlineStr">
        <is>
          <t>PUERTA RELLENABLE</t>
        </is>
      </c>
      <c r="D365" s="6" t="inlineStr">
        <is>
          <t>TOSANTO SL</t>
        </is>
      </c>
      <c r="E365" s="4" t="n">
        <v>179.87</v>
      </c>
      <c r="F365" s="6" t="n"/>
    </row>
    <row r="366">
      <c r="A366" s="6" t="inlineStr">
        <is>
          <t>1.143,00</t>
        </is>
      </c>
      <c r="B366" s="6" t="inlineStr">
        <is>
          <t>16/03/2026</t>
        </is>
      </c>
      <c r="C366" s="6" t="inlineStr">
        <is>
          <t>NATURGY FEBRERO</t>
        </is>
      </c>
      <c r="D366" s="6" t="inlineStr"/>
      <c r="E366" s="4" t="n">
        <v>40.54</v>
      </c>
      <c r="F366" s="6" t="n"/>
    </row>
    <row r="367">
      <c r="A367" s="6" t="inlineStr">
        <is>
          <t>1.142,00</t>
        </is>
      </c>
      <c r="B367" s="6" t="inlineStr">
        <is>
          <t>16/03/2026</t>
        </is>
      </c>
      <c r="C367" s="6" t="inlineStr">
        <is>
          <t>REPOSTAJE</t>
        </is>
      </c>
      <c r="D367" s="6" t="inlineStr">
        <is>
          <t>VECTALIA OIL SL.</t>
        </is>
      </c>
      <c r="E367" s="4" t="n">
        <v>26.37</v>
      </c>
      <c r="F367" s="6" t="n"/>
    </row>
    <row r="368">
      <c r="A368" s="6" t="inlineStr">
        <is>
          <t>1.139,00</t>
        </is>
      </c>
      <c r="B368" s="6" t="inlineStr">
        <is>
          <t>16/03/2026</t>
        </is>
      </c>
      <c r="C368" s="6" t="inlineStr">
        <is>
          <t>VARIOS</t>
        </is>
      </c>
      <c r="D368" s="6" t="inlineStr">
        <is>
          <t>ESTACION OMEGA ESPINARDO SL</t>
        </is>
      </c>
      <c r="E368" s="4" t="n">
        <v>8.220000000000001</v>
      </c>
      <c r="F368" s="6" t="n"/>
    </row>
    <row r="369">
      <c r="A369" s="6" t="inlineStr">
        <is>
          <t>1.138,00</t>
        </is>
      </c>
      <c r="B369" s="6" t="inlineStr">
        <is>
          <t>16/03/2026</t>
        </is>
      </c>
      <c r="C369" s="6" t="inlineStr">
        <is>
          <t>CABALLETES TRABAJAO TELESCOPICOS</t>
        </is>
      </c>
      <c r="D369" s="6" t="inlineStr">
        <is>
          <t>TOSANTO SL</t>
        </is>
      </c>
      <c r="E369" s="4" t="n">
        <v>328.1</v>
      </c>
      <c r="F369" s="6" t="n"/>
    </row>
    <row r="370">
      <c r="A370" s="6" t="inlineStr">
        <is>
          <t>1.133,00</t>
        </is>
      </c>
      <c r="B370" s="6" t="inlineStr">
        <is>
          <t>16/03/2026</t>
        </is>
      </c>
      <c r="C370" s="6" t="inlineStr">
        <is>
          <t>CAPAZOS</t>
        </is>
      </c>
      <c r="D370" s="6" t="inlineStr">
        <is>
          <t>BRICOLAJE BRICOMAN SLU</t>
        </is>
      </c>
      <c r="E370" s="4" t="n">
        <v>28.51</v>
      </c>
      <c r="F370" s="6" t="n"/>
    </row>
    <row r="371">
      <c r="A371" s="6" t="inlineStr">
        <is>
          <t>1.128,00</t>
        </is>
      </c>
      <c r="B371" s="6" t="inlineStr">
        <is>
          <t>13/03/2026</t>
        </is>
      </c>
      <c r="C371" s="6" t="inlineStr">
        <is>
          <t>VIA T ENERO</t>
        </is>
      </c>
      <c r="D371" s="6" t="inlineStr"/>
      <c r="E371" s="4" t="n">
        <v>10.81</v>
      </c>
      <c r="F371" s="6" t="n"/>
    </row>
    <row r="372">
      <c r="A372" s="6" t="inlineStr">
        <is>
          <t>1.127,00</t>
        </is>
      </c>
      <c r="B372" s="6" t="inlineStr">
        <is>
          <t>13/03/2026</t>
        </is>
      </c>
      <c r="C372" s="6" t="inlineStr">
        <is>
          <t>VIA T FEBRERO</t>
        </is>
      </c>
      <c r="D372" s="6" t="inlineStr"/>
      <c r="E372" s="4" t="n">
        <v>32.52</v>
      </c>
      <c r="F372" s="6" t="n"/>
    </row>
    <row r="373">
      <c r="A373" s="6" t="inlineStr">
        <is>
          <t>1.126,00</t>
        </is>
      </c>
      <c r="B373" s="6" t="inlineStr">
        <is>
          <t>13/03/2026</t>
        </is>
      </c>
      <c r="C373" s="6" t="inlineStr">
        <is>
          <t>HOLDED FEBRERO</t>
        </is>
      </c>
      <c r="D373" s="6" t="inlineStr">
        <is>
          <t>HOLDED TECHNOLOGIES SL.</t>
        </is>
      </c>
      <c r="E373" s="4" t="n">
        <v>59</v>
      </c>
      <c r="F373" s="6" t="n"/>
    </row>
    <row r="374">
      <c r="A374" s="6" t="inlineStr">
        <is>
          <t>1.125,00</t>
        </is>
      </c>
      <c r="B374" s="6" t="inlineStr">
        <is>
          <t>13/03/2026</t>
        </is>
      </c>
      <c r="C374" s="6" t="inlineStr">
        <is>
          <t>VIA T MARZO</t>
        </is>
      </c>
      <c r="D374" s="6" t="inlineStr"/>
      <c r="E374" s="4" t="n">
        <v>9.42</v>
      </c>
      <c r="F374" s="6" t="n"/>
    </row>
    <row r="375">
      <c r="A375" s="6" t="inlineStr">
        <is>
          <t>1.124,00</t>
        </is>
      </c>
      <c r="B375" s="6" t="inlineStr">
        <is>
          <t>12/03/2026</t>
        </is>
      </c>
      <c r="C375" s="6" t="inlineStr">
        <is>
          <t>ALQUILER NAVE MARZO</t>
        </is>
      </c>
      <c r="D375" s="6" t="inlineStr">
        <is>
          <t>PINKY VELVET INTERNATIONAL SL</t>
        </is>
      </c>
      <c r="E375" s="4" t="n">
        <v>350</v>
      </c>
      <c r="F375" s="6" t="n"/>
    </row>
    <row r="376">
      <c r="A376" s="6" t="inlineStr">
        <is>
          <t>1.123,00</t>
        </is>
      </c>
      <c r="B376" s="6" t="inlineStr">
        <is>
          <t>12/03/2026</t>
        </is>
      </c>
      <c r="C376" s="6" t="inlineStr">
        <is>
          <t>GASOLINA FEBRERO</t>
        </is>
      </c>
      <c r="D376" s="6" t="inlineStr">
        <is>
          <t>PLENOIL SL.</t>
        </is>
      </c>
      <c r="E376" s="4" t="n">
        <v>1017.62</v>
      </c>
      <c r="F376" s="6" t="n"/>
    </row>
    <row r="377">
      <c r="A377" s="6" t="inlineStr">
        <is>
          <t>1.122,00</t>
        </is>
      </c>
      <c r="B377" s="6" t="inlineStr">
        <is>
          <t>12/03/2026</t>
        </is>
      </c>
      <c r="C377" s="6" t="inlineStr">
        <is>
          <t>JAZZTEL FEBRERO</t>
        </is>
      </c>
      <c r="D377" s="6" t="inlineStr">
        <is>
          <t>ORANGE ESPAGNE SAU.</t>
        </is>
      </c>
      <c r="E377" s="4" t="n">
        <v>41.28</v>
      </c>
      <c r="F377" s="6" t="n"/>
    </row>
    <row r="378">
      <c r="A378" s="6" t="inlineStr">
        <is>
          <t>1.120,00</t>
        </is>
      </c>
      <c r="B378" s="6" t="inlineStr">
        <is>
          <t>12/03/2026</t>
        </is>
      </c>
      <c r="C378" s="6" t="inlineStr">
        <is>
          <t>IGUALA ENERO</t>
        </is>
      </c>
      <c r="D378" s="6" t="inlineStr"/>
      <c r="E378" s="4" t="n">
        <v>360.15</v>
      </c>
      <c r="F378" s="6" t="n"/>
    </row>
    <row r="379">
      <c r="A379" s="6" t="inlineStr">
        <is>
          <t>1.107,00</t>
        </is>
      </c>
      <c r="B379" s="6" t="inlineStr">
        <is>
          <t>11/03/2026</t>
        </is>
      </c>
      <c r="C379" s="6" t="inlineStr">
        <is>
          <t>REPOSTAJE</t>
        </is>
      </c>
      <c r="D379" s="6" t="inlineStr">
        <is>
          <t>REPSOL SOLUCIONES ENERGETICAS SA.</t>
        </is>
      </c>
      <c r="E379" s="4" t="n">
        <v>33.06</v>
      </c>
      <c r="F379" s="6" t="n"/>
    </row>
    <row r="380">
      <c r="A380" s="6" t="inlineStr">
        <is>
          <t>1.106,00</t>
        </is>
      </c>
      <c r="B380" s="6" t="inlineStr">
        <is>
          <t>11/03/2026</t>
        </is>
      </c>
      <c r="C380" s="6" t="inlineStr">
        <is>
          <t>REPOSTAJE</t>
        </is>
      </c>
      <c r="D380" s="6" t="inlineStr">
        <is>
          <t>FLASH-CAR LEVANTE SERVICIOS SL</t>
        </is>
      </c>
      <c r="E380" s="4" t="n">
        <v>16.53</v>
      </c>
      <c r="F380" s="6" t="n"/>
    </row>
    <row r="381">
      <c r="A381" s="6" t="inlineStr">
        <is>
          <t>1.104,00</t>
        </is>
      </c>
      <c r="B381" s="6" t="inlineStr">
        <is>
          <t>11/03/2026</t>
        </is>
      </c>
      <c r="C381" s="6" t="inlineStr">
        <is>
          <t>MATERIAL</t>
        </is>
      </c>
      <c r="D381" s="6" t="inlineStr">
        <is>
          <t>ROSALIA MARTINEZ RUIZ</t>
        </is>
      </c>
      <c r="E381" s="4" t="n">
        <v>13.84</v>
      </c>
      <c r="F381" s="6" t="n"/>
    </row>
    <row r="382">
      <c r="A382" s="6" t="inlineStr">
        <is>
          <t>1.101,00</t>
        </is>
      </c>
      <c r="B382" s="6" t="inlineStr">
        <is>
          <t>11/03/2026</t>
        </is>
      </c>
      <c r="C382" s="6" t="inlineStr">
        <is>
          <t>REPOSTAJE</t>
        </is>
      </c>
      <c r="D382" s="6" t="inlineStr">
        <is>
          <t>CAMPSA ESTACIONES DE SERVICIO SA</t>
        </is>
      </c>
      <c r="E382" s="4" t="n">
        <v>19.79</v>
      </c>
      <c r="F382" s="6" t="n"/>
    </row>
    <row r="383">
      <c r="A383" s="6" t="inlineStr">
        <is>
          <t>1.094,00</t>
        </is>
      </c>
      <c r="B383" s="6" t="inlineStr">
        <is>
          <t>09/03/2026</t>
        </is>
      </c>
      <c r="C383" s="6" t="inlineStr">
        <is>
          <t>PROLONGADOR 50M IP55</t>
        </is>
      </c>
      <c r="D383" s="6" t="inlineStr">
        <is>
          <t>JUAN JOSÉ MUÑOZ ROBLES</t>
        </is>
      </c>
      <c r="E383" s="4" t="n">
        <v>1203.5</v>
      </c>
      <c r="F383" s="6" t="n"/>
    </row>
    <row r="384">
      <c r="A384" s="6" t="inlineStr">
        <is>
          <t>1.093,00</t>
        </is>
      </c>
      <c r="B384" s="6" t="inlineStr">
        <is>
          <t>09/03/2026</t>
        </is>
      </c>
      <c r="C384" s="6" t="inlineStr">
        <is>
          <t>GENERADOR MOTOR HONDA</t>
        </is>
      </c>
      <c r="D384" s="6" t="inlineStr">
        <is>
          <t>JUAN JOSÉ MUÑOZ ROBLES</t>
        </is>
      </c>
      <c r="E384" s="4" t="n">
        <v>1430</v>
      </c>
      <c r="F384" s="6" t="n"/>
    </row>
    <row r="385">
      <c r="A385" s="6" t="inlineStr">
        <is>
          <t>1.092,00</t>
        </is>
      </c>
      <c r="B385" s="6" t="inlineStr">
        <is>
          <t>09/03/2026</t>
        </is>
      </c>
      <c r="C385" s="6" t="inlineStr">
        <is>
          <t>REPOSTAJE</t>
        </is>
      </c>
      <c r="D385" s="6" t="inlineStr">
        <is>
          <t>ESTACION OMEGA ESPINARDO SL</t>
        </is>
      </c>
      <c r="E385" s="4" t="n">
        <v>15.48</v>
      </c>
      <c r="F385" s="6" t="n"/>
    </row>
    <row r="386">
      <c r="A386" s="6" t="inlineStr">
        <is>
          <t>1.091,00</t>
        </is>
      </c>
      <c r="B386" s="6" t="inlineStr">
        <is>
          <t>09/03/2026</t>
        </is>
      </c>
      <c r="C386" s="6" t="inlineStr">
        <is>
          <t>NATURGY ENERO</t>
        </is>
      </c>
      <c r="D386" s="6" t="inlineStr">
        <is>
          <t>NATURGY IBERIA SA.</t>
        </is>
      </c>
      <c r="E386" s="4" t="n">
        <v>48.52</v>
      </c>
      <c r="F386" s="6" t="n"/>
    </row>
    <row r="387">
      <c r="A387" s="6" t="inlineStr">
        <is>
          <t>1.090,00</t>
        </is>
      </c>
      <c r="B387" s="6" t="inlineStr">
        <is>
          <t>09/03/2026</t>
        </is>
      </c>
      <c r="C387" s="6" t="inlineStr">
        <is>
          <t>JAZZTEL ENERO</t>
        </is>
      </c>
      <c r="D387" s="6" t="inlineStr">
        <is>
          <t>ORANGE ESPAGNE SAU.</t>
        </is>
      </c>
      <c r="E387" s="4" t="n">
        <v>41.28</v>
      </c>
      <c r="F387" s="6" t="n"/>
    </row>
    <row r="388">
      <c r="A388" s="6" t="inlineStr">
        <is>
          <t>1.089,00</t>
        </is>
      </c>
      <c r="B388" s="6" t="inlineStr">
        <is>
          <t>09/03/2026</t>
        </is>
      </c>
      <c r="C388" s="6" t="inlineStr">
        <is>
          <t>GUANTES TRABAJO</t>
        </is>
      </c>
      <c r="D388" s="6" t="inlineStr">
        <is>
          <t>JUAN JOSÉ MUÑOZ ROBLES</t>
        </is>
      </c>
      <c r="E388" s="4" t="n">
        <v>120</v>
      </c>
      <c r="F388" s="6" t="n"/>
    </row>
    <row r="389">
      <c r="A389" s="6" t="inlineStr">
        <is>
          <t>1.088,00</t>
        </is>
      </c>
      <c r="B389" s="6" t="inlineStr">
        <is>
          <t>09/03/2026</t>
        </is>
      </c>
      <c r="C389" s="6" t="inlineStr">
        <is>
          <t>REPOSTAJE</t>
        </is>
      </c>
      <c r="D389" s="6" t="inlineStr">
        <is>
          <t>E.S. PINOSO S.L.</t>
        </is>
      </c>
      <c r="E389" s="4" t="n">
        <v>61.99</v>
      </c>
      <c r="F389" s="6" t="n"/>
    </row>
    <row r="390">
      <c r="A390" s="6" t="inlineStr">
        <is>
          <t>1.087,00</t>
        </is>
      </c>
      <c r="B390" s="6" t="inlineStr">
        <is>
          <t>09/03/2026</t>
        </is>
      </c>
      <c r="C390" s="6" t="inlineStr">
        <is>
          <t>ON BOARGING BILLD IN</t>
        </is>
      </c>
      <c r="D390" s="6" t="inlineStr">
        <is>
          <t>SIDE QUEST APES, S.L.</t>
        </is>
      </c>
      <c r="E390" s="4" t="n">
        <v>1200</v>
      </c>
      <c r="F390" s="6" t="n"/>
    </row>
    <row r="391">
      <c r="A391" s="6" t="inlineStr">
        <is>
          <t>1.086,00</t>
        </is>
      </c>
      <c r="B391" s="6" t="inlineStr">
        <is>
          <t>09/03/2026</t>
        </is>
      </c>
      <c r="C391" s="6" t="inlineStr">
        <is>
          <t>REPOSTAJE</t>
        </is>
      </c>
      <c r="D391" s="6" t="inlineStr">
        <is>
          <t>ESTACION OMEGA ESPINARDO SL</t>
        </is>
      </c>
      <c r="E391" s="4" t="n">
        <v>19.26</v>
      </c>
      <c r="F391" s="6" t="n"/>
    </row>
    <row r="392">
      <c r="A392" s="6" t="inlineStr">
        <is>
          <t>1.085,00</t>
        </is>
      </c>
      <c r="B392" s="6" t="inlineStr">
        <is>
          <t>09/03/2026</t>
        </is>
      </c>
      <c r="C392" s="6" t="inlineStr">
        <is>
          <t>CHAQUETAS LABORAL</t>
        </is>
      </c>
      <c r="D392" s="6" t="inlineStr">
        <is>
          <t>INDICATIVO SL</t>
        </is>
      </c>
      <c r="E392" s="4" t="n">
        <v>430</v>
      </c>
      <c r="F392" s="6" t="n"/>
    </row>
    <row r="393">
      <c r="A393" s="6" t="inlineStr">
        <is>
          <t>1.084,00</t>
        </is>
      </c>
      <c r="B393" s="6" t="inlineStr">
        <is>
          <t>09/03/2026</t>
        </is>
      </c>
      <c r="C393" s="6" t="inlineStr">
        <is>
          <t>ALQUILER NAVE FEBRERO</t>
        </is>
      </c>
      <c r="D393" s="6" t="inlineStr">
        <is>
          <t>PINKY VELVET INTERNATIONAL SL</t>
        </is>
      </c>
      <c r="E393" s="4" t="n">
        <v>350</v>
      </c>
      <c r="F393" s="6" t="n"/>
    </row>
    <row r="394">
      <c r="A394" s="6" t="inlineStr">
        <is>
          <t>1.083,00</t>
        </is>
      </c>
      <c r="B394" s="6" t="inlineStr">
        <is>
          <t>09/03/2026</t>
        </is>
      </c>
      <c r="C394" s="6" t="inlineStr">
        <is>
          <t>REPOSTAJE</t>
        </is>
      </c>
      <c r="D394" s="6" t="inlineStr">
        <is>
          <t>REPSOL SOLUCIONES ENERGETICAS SA.</t>
        </is>
      </c>
      <c r="E394" s="4" t="n">
        <v>74.38</v>
      </c>
      <c r="F394" s="6" t="n"/>
    </row>
    <row r="395">
      <c r="A395" s="6" t="inlineStr">
        <is>
          <t>1.082,00</t>
        </is>
      </c>
      <c r="B395" s="6" t="inlineStr">
        <is>
          <t>09/03/2026</t>
        </is>
      </c>
      <c r="C395" s="6" t="inlineStr">
        <is>
          <t>REPOSTAJE</t>
        </is>
      </c>
      <c r="D395" s="6" t="inlineStr">
        <is>
          <t>E.S. PINOSO S.L.</t>
        </is>
      </c>
      <c r="E395" s="4" t="n">
        <v>37.19</v>
      </c>
      <c r="F395" s="6" t="n"/>
    </row>
    <row r="396">
      <c r="A396" s="6" t="inlineStr">
        <is>
          <t>1.081,00</t>
        </is>
      </c>
      <c r="B396" s="6" t="inlineStr">
        <is>
          <t>09/03/2026</t>
        </is>
      </c>
      <c r="C396" s="6" t="inlineStr">
        <is>
          <t>ROLLO HILO DE ALAMBRE</t>
        </is>
      </c>
      <c r="D396" s="6" t="inlineStr">
        <is>
          <t>JUAN JOSÉ MUÑOZ ROBLES</t>
        </is>
      </c>
      <c r="E396" s="4" t="n">
        <v>300</v>
      </c>
      <c r="F396" s="6" t="n"/>
    </row>
    <row r="397">
      <c r="A397" s="6" t="inlineStr">
        <is>
          <t>1.080,00</t>
        </is>
      </c>
      <c r="B397" s="6" t="inlineStr">
        <is>
          <t>09/03/2026</t>
        </is>
      </c>
      <c r="C397" s="6" t="inlineStr">
        <is>
          <t>GUANTE SOLDADOR / MASCARILLA / SOPLETE</t>
        </is>
      </c>
      <c r="D397" s="6" t="inlineStr">
        <is>
          <t>SUMINISTROS INDUSTRIALES FARELL SA</t>
        </is>
      </c>
      <c r="E397" s="4" t="n">
        <v>160.74</v>
      </c>
      <c r="F397" s="6" t="n"/>
    </row>
    <row r="398">
      <c r="A398" s="6" t="inlineStr">
        <is>
          <t>1.078,00</t>
        </is>
      </c>
      <c r="B398" s="6" t="inlineStr">
        <is>
          <t>09/03/2026</t>
        </is>
      </c>
      <c r="C398" s="6" t="inlineStr">
        <is>
          <t>REPOSTAJE</t>
        </is>
      </c>
      <c r="D398" s="6" t="inlineStr">
        <is>
          <t>CAMPSA ESTACIONES DE SERVICIO SA</t>
        </is>
      </c>
      <c r="E398" s="4" t="n">
        <v>13.18</v>
      </c>
      <c r="F398" s="6" t="n"/>
    </row>
    <row r="399">
      <c r="A399" s="6" t="inlineStr">
        <is>
          <t>1.077,00</t>
        </is>
      </c>
      <c r="B399" s="6" t="inlineStr">
        <is>
          <t>09/03/2026</t>
        </is>
      </c>
      <c r="C399" s="6" t="inlineStr">
        <is>
          <t>REPOSTAJE</t>
        </is>
      </c>
      <c r="D399" s="6" t="inlineStr">
        <is>
          <t>REATA ESTACIONES SL.</t>
        </is>
      </c>
      <c r="E399" s="4" t="n">
        <v>29.38</v>
      </c>
      <c r="F399" s="6" t="n"/>
    </row>
    <row r="400">
      <c r="A400" s="6" t="inlineStr">
        <is>
          <t>1.076,00</t>
        </is>
      </c>
      <c r="B400" s="6" t="inlineStr">
        <is>
          <t>09/03/2026</t>
        </is>
      </c>
      <c r="C400" s="6" t="inlineStr">
        <is>
          <t>ALARGADERA</t>
        </is>
      </c>
      <c r="D400" s="6" t="inlineStr">
        <is>
          <t>BRICOLAJE BRICOMAN SLU</t>
        </is>
      </c>
      <c r="E400" s="4" t="n">
        <v>51.24</v>
      </c>
      <c r="F400" s="6" t="n"/>
    </row>
    <row r="401">
      <c r="A401" s="6" t="inlineStr">
        <is>
          <t>1.075,00</t>
        </is>
      </c>
      <c r="B401" s="6" t="inlineStr">
        <is>
          <t>09/03/2026</t>
        </is>
      </c>
      <c r="C401" s="6" t="inlineStr">
        <is>
          <t>PROLONGADOR 50M IP55</t>
        </is>
      </c>
      <c r="D401" s="6" t="inlineStr">
        <is>
          <t>JUAN JOSÉ MUÑOZ ROBLES</t>
        </is>
      </c>
      <c r="E401" s="4" t="n">
        <v>234</v>
      </c>
      <c r="F401" s="6" t="n"/>
    </row>
    <row r="402">
      <c r="A402" s="6" t="inlineStr">
        <is>
          <t>1.074,00</t>
        </is>
      </c>
      <c r="B402" s="6" t="inlineStr">
        <is>
          <t>09/03/2026</t>
        </is>
      </c>
      <c r="C402" s="6" t="inlineStr">
        <is>
          <t>VARIOS</t>
        </is>
      </c>
      <c r="D402" s="6" t="inlineStr">
        <is>
          <t>JYSK DBL IBERIA SLU</t>
        </is>
      </c>
      <c r="E402" s="4" t="n">
        <v>44.86</v>
      </c>
      <c r="F402" s="6" t="n"/>
    </row>
    <row r="403">
      <c r="A403" s="6" t="inlineStr">
        <is>
          <t>1.073,00</t>
        </is>
      </c>
      <c r="B403" s="6" t="inlineStr">
        <is>
          <t>09/03/2026</t>
        </is>
      </c>
      <c r="C403" s="6" t="inlineStr">
        <is>
          <t>REPOSTAJE</t>
        </is>
      </c>
      <c r="D403" s="6" t="inlineStr">
        <is>
          <t>CONCORDY SA</t>
        </is>
      </c>
      <c r="E403" s="4" t="n">
        <v>56.07</v>
      </c>
      <c r="F403" s="6" t="n"/>
    </row>
    <row r="404">
      <c r="A404" s="6" t="inlineStr">
        <is>
          <t>1.072,00</t>
        </is>
      </c>
      <c r="B404" s="6" t="inlineStr">
        <is>
          <t>09/03/2026</t>
        </is>
      </c>
      <c r="C404" s="6" t="inlineStr">
        <is>
          <t>PEGATINAS VALLAS</t>
        </is>
      </c>
      <c r="D404" s="6" t="inlineStr">
        <is>
          <t>INDICATIVO SL</t>
        </is>
      </c>
      <c r="E404" s="4" t="n">
        <v>200</v>
      </c>
      <c r="F404" s="6" t="n"/>
    </row>
    <row r="405">
      <c r="A405" s="6" t="inlineStr">
        <is>
          <t>1.071,00</t>
        </is>
      </c>
      <c r="B405" s="6" t="inlineStr">
        <is>
          <t>09/03/2026</t>
        </is>
      </c>
      <c r="C405" s="6" t="inlineStr">
        <is>
          <t>DIGI ENERO</t>
        </is>
      </c>
      <c r="D405" s="6" t="inlineStr">
        <is>
          <t>DIGI SPAIN TELECOM SL</t>
        </is>
      </c>
      <c r="E405" s="4" t="n">
        <v>9.09</v>
      </c>
      <c r="F405" s="6" t="n"/>
    </row>
    <row r="406">
      <c r="A406" s="6" t="inlineStr">
        <is>
          <t>1.070,00</t>
        </is>
      </c>
      <c r="B406" s="6" t="inlineStr">
        <is>
          <t>09/03/2026</t>
        </is>
      </c>
      <c r="C406" s="6" t="inlineStr">
        <is>
          <t>NATURGY DICIEMBRE</t>
        </is>
      </c>
      <c r="D406" s="6" t="inlineStr">
        <is>
          <t>NATURGY IBERIA SA.</t>
        </is>
      </c>
      <c r="E406" s="4" t="n">
        <v>32.89</v>
      </c>
      <c r="F406" s="6" t="n"/>
    </row>
    <row r="407">
      <c r="A407" s="6" t="inlineStr">
        <is>
          <t>1.069,00</t>
        </is>
      </c>
      <c r="B407" s="6" t="inlineStr">
        <is>
          <t>09/03/2026</t>
        </is>
      </c>
      <c r="C407" s="6" t="inlineStr">
        <is>
          <t>MAQUINA STHILL</t>
        </is>
      </c>
      <c r="D407" s="6" t="inlineStr">
        <is>
          <t>MARHUENDA IMPORTACIONES SL</t>
        </is>
      </c>
      <c r="E407" s="4" t="n">
        <v>1716.53</v>
      </c>
      <c r="F407" s="6" t="n"/>
    </row>
    <row r="408">
      <c r="A408" s="6" t="inlineStr">
        <is>
          <t>1.068,00</t>
        </is>
      </c>
      <c r="B408" s="6" t="inlineStr">
        <is>
          <t>09/03/2026</t>
        </is>
      </c>
      <c r="C408" s="6" t="inlineStr">
        <is>
          <t>CALZADO LABORAL</t>
        </is>
      </c>
      <c r="D408" s="6" t="inlineStr">
        <is>
          <t>BRICOLAJE BRICOMAN SLU</t>
        </is>
      </c>
      <c r="E408" s="4" t="n">
        <v>119.09</v>
      </c>
      <c r="F408" s="6" t="n"/>
    </row>
    <row r="409">
      <c r="A409" s="6" t="inlineStr">
        <is>
          <t>1.067,00</t>
        </is>
      </c>
      <c r="B409" s="6" t="inlineStr">
        <is>
          <t>09/03/2026</t>
        </is>
      </c>
      <c r="C409" s="6" t="inlineStr">
        <is>
          <t>REPOSTAJE</t>
        </is>
      </c>
      <c r="D409" s="6" t="inlineStr">
        <is>
          <t>ESTACION OMEGA ESPINARDO SL</t>
        </is>
      </c>
      <c r="E409" s="4" t="n">
        <v>16.94</v>
      </c>
      <c r="F409" s="6" t="n"/>
    </row>
    <row r="410">
      <c r="A410" s="6" t="inlineStr">
        <is>
          <t>1.066,00</t>
        </is>
      </c>
      <c r="B410" s="6" t="inlineStr">
        <is>
          <t>09/03/2026</t>
        </is>
      </c>
      <c r="C410" s="6" t="inlineStr">
        <is>
          <t>PLENOIL DICIEMBRE</t>
        </is>
      </c>
      <c r="D410" s="6" t="inlineStr">
        <is>
          <t>PLENOIL SL.</t>
        </is>
      </c>
      <c r="E410" s="4" t="n">
        <v>687.37</v>
      </c>
      <c r="F410" s="6" t="n"/>
    </row>
    <row r="411">
      <c r="A411" s="6" t="inlineStr">
        <is>
          <t>1.065,00</t>
        </is>
      </c>
      <c r="B411" s="6" t="inlineStr">
        <is>
          <t>09/03/2026</t>
        </is>
      </c>
      <c r="C411" s="6" t="inlineStr">
        <is>
          <t>MAQUINARIA</t>
        </is>
      </c>
      <c r="D411" s="6" t="inlineStr">
        <is>
          <t>WURTH ESPAÑA SA</t>
        </is>
      </c>
      <c r="E411" s="4" t="n">
        <v>3178.12</v>
      </c>
      <c r="F411" s="6" t="n"/>
    </row>
    <row r="412">
      <c r="A412" s="6" t="inlineStr">
        <is>
          <t>1.064,00</t>
        </is>
      </c>
      <c r="B412" s="6" t="inlineStr">
        <is>
          <t>09/03/2026</t>
        </is>
      </c>
      <c r="C412" s="6" t="inlineStr">
        <is>
          <t>JAZZTEL DICIEMBRE</t>
        </is>
      </c>
      <c r="D412" s="6" t="inlineStr">
        <is>
          <t>ORANGE ESPAGNE SAU.</t>
        </is>
      </c>
      <c r="E412" s="4" t="n">
        <v>73.02</v>
      </c>
      <c r="F412" s="6" t="n"/>
    </row>
    <row r="413">
      <c r="A413" s="6" t="inlineStr">
        <is>
          <t>1.063,00</t>
        </is>
      </c>
      <c r="B413" s="6" t="inlineStr">
        <is>
          <t>09/03/2026</t>
        </is>
      </c>
      <c r="C413" s="6" t="inlineStr">
        <is>
          <t>HOLDED DICIEMBRE</t>
        </is>
      </c>
      <c r="D413" s="6" t="inlineStr">
        <is>
          <t>HOLDED TECHNOLOGIES SL.</t>
        </is>
      </c>
      <c r="E413" s="4" t="n">
        <v>59</v>
      </c>
      <c r="F413" s="6" t="n"/>
    </row>
    <row r="414">
      <c r="A414" s="6" t="inlineStr">
        <is>
          <t>1.062,00</t>
        </is>
      </c>
      <c r="B414" s="6" t="inlineStr">
        <is>
          <t>09/03/2026</t>
        </is>
      </c>
      <c r="C414" s="6" t="inlineStr">
        <is>
          <t>DIGI DICIEMBRE</t>
        </is>
      </c>
      <c r="D414" s="6" t="inlineStr">
        <is>
          <t>DIGI SPAIN TELECOM SL</t>
        </is>
      </c>
      <c r="E414" s="4" t="n">
        <v>9.09</v>
      </c>
      <c r="F414" s="6" t="n"/>
    </row>
    <row r="415">
      <c r="A415" s="6" t="inlineStr">
        <is>
          <t>1.061,00</t>
        </is>
      </c>
      <c r="B415" s="6" t="inlineStr">
        <is>
          <t>09/03/2026</t>
        </is>
      </c>
      <c r="C415" s="6" t="inlineStr">
        <is>
          <t>COMIDA VERANO+NAVIDAD</t>
        </is>
      </c>
      <c r="D415" s="6" t="inlineStr">
        <is>
          <t>PEDRO ANTONIO NAVARRO RICO</t>
        </is>
      </c>
      <c r="E415" s="4" t="n">
        <v>1070</v>
      </c>
      <c r="F415" s="6" t="n"/>
    </row>
    <row r="416">
      <c r="A416" s="6" t="inlineStr">
        <is>
          <t>1.060,00</t>
        </is>
      </c>
      <c r="B416" s="6" t="inlineStr">
        <is>
          <t>09/03/2026</t>
        </is>
      </c>
      <c r="C416" s="6" t="inlineStr">
        <is>
          <t>ROPA LABORAL</t>
        </is>
      </c>
      <c r="D416" s="6" t="inlineStr">
        <is>
          <t>FORMATO DIGITAL ACTIVIDADES PUBLICITARIAS SOCIEDAD LIMITADA.</t>
        </is>
      </c>
      <c r="E416" s="4" t="n">
        <v>655.52</v>
      </c>
      <c r="F416" s="6" t="n"/>
    </row>
    <row r="417">
      <c r="A417" s="6" t="inlineStr">
        <is>
          <t>1.059,00</t>
        </is>
      </c>
      <c r="B417" s="6" t="inlineStr">
        <is>
          <t>09/03/2026</t>
        </is>
      </c>
      <c r="C417" s="6" t="inlineStr">
        <is>
          <t>TINTA SELLO</t>
        </is>
      </c>
      <c r="D417" s="6" t="inlineStr">
        <is>
          <t>ENDLESS SYSTEMS SLU</t>
        </is>
      </c>
      <c r="E417" s="4" t="n">
        <v>3.93</v>
      </c>
      <c r="F417" s="6" t="n"/>
    </row>
    <row r="418">
      <c r="A418" s="6" t="inlineStr">
        <is>
          <t>1.058,00</t>
        </is>
      </c>
      <c r="B418" s="6" t="inlineStr">
        <is>
          <t>09/03/2026</t>
        </is>
      </c>
      <c r="C418" s="6" t="inlineStr">
        <is>
          <t>PEDIDO</t>
        </is>
      </c>
      <c r="D418" s="6" t="inlineStr">
        <is>
          <t>LEROY MERLIN ESPAÑA SL</t>
        </is>
      </c>
      <c r="E418" s="4" t="n">
        <v>26.38</v>
      </c>
      <c r="F418" s="6" t="n"/>
    </row>
    <row r="419">
      <c r="A419" s="6" t="inlineStr">
        <is>
          <t>1.057,00</t>
        </is>
      </c>
      <c r="B419" s="6" t="inlineStr">
        <is>
          <t>09/03/2026</t>
        </is>
      </c>
      <c r="C419" s="6" t="inlineStr">
        <is>
          <t>REPOSTAJE</t>
        </is>
      </c>
      <c r="D419" s="6" t="inlineStr">
        <is>
          <t>ESTACION OMEGA ESPINARDO SL</t>
        </is>
      </c>
      <c r="E419" s="4" t="n">
        <v>12.64</v>
      </c>
      <c r="F419" s="6" t="n"/>
    </row>
    <row r="420">
      <c r="A420" s="6" t="inlineStr">
        <is>
          <t>1.056,00</t>
        </is>
      </c>
      <c r="B420" s="6" t="inlineStr">
        <is>
          <t>09/03/2026</t>
        </is>
      </c>
      <c r="C420" s="6" t="inlineStr">
        <is>
          <t>NATURGY NOVIEMBRE</t>
        </is>
      </c>
      <c r="D420" s="6" t="inlineStr">
        <is>
          <t>NATURGY IBERIA SA.</t>
        </is>
      </c>
      <c r="E420" s="4" t="n">
        <v>25.69</v>
      </c>
      <c r="F420" s="6" t="n"/>
    </row>
    <row r="421">
      <c r="A421" s="6" t="inlineStr">
        <is>
          <t>1.055,00</t>
        </is>
      </c>
      <c r="B421" s="6" t="inlineStr">
        <is>
          <t>09/03/2026</t>
        </is>
      </c>
      <c r="C421" s="6" t="inlineStr">
        <is>
          <t>JAZTELL NOVIEMBRE</t>
        </is>
      </c>
      <c r="D421" s="6" t="inlineStr">
        <is>
          <t>ORANGE ESPAGNE SAU.</t>
        </is>
      </c>
      <c r="E421" s="4" t="n">
        <v>41.28</v>
      </c>
      <c r="F421" s="6" t="n"/>
    </row>
    <row r="422">
      <c r="A422" s="6" t="inlineStr">
        <is>
          <t>1.054,00</t>
        </is>
      </c>
      <c r="B422" s="6" t="inlineStr">
        <is>
          <t>09/03/2026</t>
        </is>
      </c>
      <c r="C422" s="6" t="inlineStr">
        <is>
          <t>REPOSTAJE</t>
        </is>
      </c>
      <c r="D422" s="6" t="inlineStr">
        <is>
          <t>VECTALIA OIL SL.</t>
        </is>
      </c>
      <c r="E422" s="4" t="n">
        <v>54.49</v>
      </c>
      <c r="F422" s="6" t="n"/>
    </row>
    <row r="423">
      <c r="A423" s="6" t="inlineStr">
        <is>
          <t>1.053,00</t>
        </is>
      </c>
      <c r="B423" s="6" t="inlineStr">
        <is>
          <t>09/03/2026</t>
        </is>
      </c>
      <c r="C423" s="6" t="inlineStr">
        <is>
          <t>ALQUILER NAVE DICIEMBRE</t>
        </is>
      </c>
      <c r="D423" s="6" t="inlineStr">
        <is>
          <t>PINKY VELVET INTERNATIONAL SL</t>
        </is>
      </c>
      <c r="E423" s="4" t="n">
        <v>350</v>
      </c>
      <c r="F423" s="6" t="n"/>
    </row>
    <row r="424">
      <c r="A424" s="6" t="inlineStr">
        <is>
          <t>1.052,00</t>
        </is>
      </c>
      <c r="B424" s="6" t="inlineStr">
        <is>
          <t>09/03/2026</t>
        </is>
      </c>
      <c r="C424" s="6" t="inlineStr">
        <is>
          <t>ASESORAMIENTO CONTABLE FISCAL</t>
        </is>
      </c>
      <c r="D424" s="6" t="inlineStr"/>
      <c r="E424" s="4" t="n">
        <v>350</v>
      </c>
      <c r="F424" s="6" t="n"/>
    </row>
    <row r="425">
      <c r="A425" s="6" t="inlineStr">
        <is>
          <t>1.051,00</t>
        </is>
      </c>
      <c r="B425" s="6" t="inlineStr">
        <is>
          <t>09/03/2026</t>
        </is>
      </c>
      <c r="C425" s="6" t="inlineStr">
        <is>
          <t>HERRAMIENTA</t>
        </is>
      </c>
      <c r="D425" s="6" t="inlineStr">
        <is>
          <t>HIJOS DE JOSE BUSQUIER SL</t>
        </is>
      </c>
      <c r="E425" s="4" t="n">
        <v>13.5</v>
      </c>
      <c r="F425" s="6" t="n"/>
    </row>
    <row r="426">
      <c r="A426" s="6" t="inlineStr">
        <is>
          <t>1.050,00</t>
        </is>
      </c>
      <c r="B426" s="6" t="inlineStr">
        <is>
          <t>09/03/2026</t>
        </is>
      </c>
      <c r="C426" s="6" t="inlineStr">
        <is>
          <t>REPOSTAJE</t>
        </is>
      </c>
      <c r="D426" s="6" t="inlineStr">
        <is>
          <t>VECTALIA OIL SL.</t>
        </is>
      </c>
      <c r="E426" s="4" t="n">
        <v>31.74</v>
      </c>
      <c r="F426" s="6" t="n"/>
    </row>
    <row r="427">
      <c r="A427" s="6" t="inlineStr">
        <is>
          <t>1.049,00</t>
        </is>
      </c>
      <c r="B427" s="6" t="inlineStr">
        <is>
          <t>09/03/2026</t>
        </is>
      </c>
      <c r="C427" s="6" t="inlineStr">
        <is>
          <t>REPOSTAJE</t>
        </is>
      </c>
      <c r="D427" s="6" t="inlineStr">
        <is>
          <t>REPSOL SOLUCIONES ENERGETICAS SA.</t>
        </is>
      </c>
      <c r="E427" s="4" t="n">
        <v>41.32</v>
      </c>
      <c r="F427" s="6" t="n"/>
    </row>
    <row r="428">
      <c r="A428" s="6" t="inlineStr">
        <is>
          <t>1.048,00</t>
        </is>
      </c>
      <c r="B428" s="6" t="inlineStr">
        <is>
          <t>09/03/2026</t>
        </is>
      </c>
      <c r="C428" s="6" t="inlineStr">
        <is>
          <t>ASESORÍA NOVIEMBRE</t>
        </is>
      </c>
      <c r="D428" s="6" t="inlineStr"/>
      <c r="E428" s="4" t="n">
        <v>70</v>
      </c>
      <c r="F428" s="6" t="n"/>
    </row>
    <row r="429">
      <c r="A429" s="6" t="inlineStr">
        <is>
          <t>1.047,00</t>
        </is>
      </c>
      <c r="B429" s="6" t="inlineStr">
        <is>
          <t>09/03/2026</t>
        </is>
      </c>
      <c r="C429" s="6" t="inlineStr">
        <is>
          <t>DISCOS DE CORTE</t>
        </is>
      </c>
      <c r="D429" s="6" t="inlineStr">
        <is>
          <t>CONSYDECOR SL</t>
        </is>
      </c>
      <c r="E429" s="4" t="n">
        <v>40.56</v>
      </c>
      <c r="F429" s="6" t="n"/>
    </row>
    <row r="430">
      <c r="A430" s="6" t="inlineStr">
        <is>
          <t>1.046,00</t>
        </is>
      </c>
      <c r="B430" s="6" t="inlineStr">
        <is>
          <t>09/03/2026</t>
        </is>
      </c>
      <c r="C430" s="6" t="inlineStr">
        <is>
          <t>GASOLINA NOVIEMBRE</t>
        </is>
      </c>
      <c r="D430" s="6" t="inlineStr">
        <is>
          <t>PLENOIL SL.</t>
        </is>
      </c>
      <c r="E430" s="4" t="n">
        <v>1176.27</v>
      </c>
      <c r="F430" s="6" t="n"/>
    </row>
    <row r="431">
      <c r="A431" s="6" t="inlineStr">
        <is>
          <t>1.045,00</t>
        </is>
      </c>
      <c r="B431" s="6" t="inlineStr">
        <is>
          <t>09/03/2026</t>
        </is>
      </c>
      <c r="C431" s="6" t="inlineStr">
        <is>
          <t>CUOTA ANUAL PREVENCIÓN</t>
        </is>
      </c>
      <c r="D431" s="6" t="inlineStr">
        <is>
          <t>EUROPREVEN SERVICIOS DE PREVENCION DE RIESGOS LABORALES SL</t>
        </is>
      </c>
      <c r="E431" s="4" t="n">
        <v>711.4</v>
      </c>
      <c r="F431" s="6" t="n"/>
    </row>
    <row r="432">
      <c r="A432" s="6" t="inlineStr">
        <is>
          <t>1.044,00</t>
        </is>
      </c>
      <c r="B432" s="6" t="inlineStr">
        <is>
          <t>09/03/2026</t>
        </is>
      </c>
      <c r="C432" s="6" t="inlineStr">
        <is>
          <t>HERRMIENTA</t>
        </is>
      </c>
      <c r="D432" s="6" t="inlineStr">
        <is>
          <t>LEROY MERLIN ESPAÑA SL</t>
        </is>
      </c>
      <c r="E432" s="4" t="n">
        <v>25.9</v>
      </c>
      <c r="F432" s="6" t="n"/>
    </row>
    <row r="433">
      <c r="A433" s="6" t="inlineStr">
        <is>
          <t>1.043,00</t>
        </is>
      </c>
      <c r="B433" s="6" t="inlineStr">
        <is>
          <t>09/03/2026</t>
        </is>
      </c>
      <c r="C433" s="6" t="inlineStr">
        <is>
          <t>PEDIDO</t>
        </is>
      </c>
      <c r="D433" s="6" t="inlineStr">
        <is>
          <t>LEROY MERLIN ESPAÑA SL</t>
        </is>
      </c>
      <c r="E433" s="4" t="n">
        <v>1.59</v>
      </c>
      <c r="F433" s="6" t="n"/>
    </row>
    <row r="434">
      <c r="A434" s="6" t="inlineStr">
        <is>
          <t>1.042,00</t>
        </is>
      </c>
      <c r="B434" s="6" t="inlineStr">
        <is>
          <t>09/03/2026</t>
        </is>
      </c>
      <c r="C434" s="6" t="inlineStr">
        <is>
          <t>MATERIAL</t>
        </is>
      </c>
      <c r="D434" s="6" t="inlineStr">
        <is>
          <t>CONSYDECOR SL</t>
        </is>
      </c>
      <c r="E434" s="4" t="n">
        <v>1.44</v>
      </c>
      <c r="F434" s="6" t="n"/>
    </row>
    <row r="435">
      <c r="A435" s="6" t="inlineStr">
        <is>
          <t>1.041,00</t>
        </is>
      </c>
      <c r="B435" s="6" t="inlineStr">
        <is>
          <t>09/03/2026</t>
        </is>
      </c>
      <c r="C435" s="6" t="inlineStr">
        <is>
          <t>HERRAMIENTA</t>
        </is>
      </c>
      <c r="D435" s="6" t="inlineStr">
        <is>
          <t>TEJERA SUMINISTROS INDUSTRIALES SL.</t>
        </is>
      </c>
      <c r="E435" s="4" t="n">
        <v>179</v>
      </c>
      <c r="F435" s="6" t="n"/>
    </row>
    <row r="436">
      <c r="A436" s="6" t="inlineStr">
        <is>
          <t>1.040,00</t>
        </is>
      </c>
      <c r="B436" s="6" t="inlineStr">
        <is>
          <t>09/03/2026</t>
        </is>
      </c>
      <c r="C436" s="6" t="inlineStr">
        <is>
          <t>VENTOSAS</t>
        </is>
      </c>
      <c r="D436" s="6" t="inlineStr">
        <is>
          <t>DIAMOND-SERVICE PRO TOOLS SL.</t>
        </is>
      </c>
      <c r="E436" s="4" t="n">
        <v>144.35</v>
      </c>
      <c r="F436" s="6" t="n"/>
    </row>
    <row r="437">
      <c r="A437" s="6" t="inlineStr">
        <is>
          <t>1.039,00</t>
        </is>
      </c>
      <c r="B437" s="6" t="inlineStr">
        <is>
          <t>09/03/2026</t>
        </is>
      </c>
      <c r="C437" s="6" t="inlineStr">
        <is>
          <t>IKEA ERROR ARMARIO</t>
        </is>
      </c>
      <c r="D437" s="6" t="inlineStr">
        <is>
          <t>IKEA IBERICA SAU</t>
        </is>
      </c>
      <c r="E437" s="4" t="n">
        <v>882.5599999999999</v>
      </c>
      <c r="F437" s="6" t="n"/>
    </row>
    <row r="438">
      <c r="A438" s="6" t="inlineStr">
        <is>
          <t>1.038,00</t>
        </is>
      </c>
      <c r="B438" s="6" t="inlineStr">
        <is>
          <t>09/03/2026</t>
        </is>
      </c>
      <c r="C438" s="6" t="inlineStr">
        <is>
          <t>HOLDED NOVIEMBRE</t>
        </is>
      </c>
      <c r="D438" s="6" t="inlineStr">
        <is>
          <t>HOLDED TECHNOLOGIES SL.</t>
        </is>
      </c>
      <c r="E438" s="4" t="n">
        <v>59</v>
      </c>
      <c r="F438" s="6" t="n"/>
    </row>
    <row r="439">
      <c r="A439" s="6" t="inlineStr">
        <is>
          <t>1.037,00</t>
        </is>
      </c>
      <c r="B439" s="6" t="inlineStr">
        <is>
          <t>09/03/2026</t>
        </is>
      </c>
      <c r="C439" s="6" t="inlineStr">
        <is>
          <t>DIGI NOVIEMBRE</t>
        </is>
      </c>
      <c r="D439" s="6" t="inlineStr">
        <is>
          <t>DIGI SPAIN TELECOM SL</t>
        </is>
      </c>
      <c r="E439" s="4" t="n">
        <v>8.789999999999999</v>
      </c>
      <c r="F439" s="6" t="n"/>
    </row>
    <row r="440">
      <c r="A440" s="6" t="inlineStr">
        <is>
          <t>1.036,00</t>
        </is>
      </c>
      <c r="B440" s="6" t="inlineStr">
        <is>
          <t>09/03/2026</t>
        </is>
      </c>
      <c r="C440" s="6" t="inlineStr">
        <is>
          <t>REPOSTAJE</t>
        </is>
      </c>
      <c r="D440" s="6" t="inlineStr">
        <is>
          <t>ESTACION OMEGA ESPINARDO SL</t>
        </is>
      </c>
      <c r="E440" s="4" t="n">
        <v>24.79</v>
      </c>
      <c r="F440" s="6" t="n"/>
    </row>
    <row r="441">
      <c r="A441" s="6" t="inlineStr">
        <is>
          <t>1.035,00</t>
        </is>
      </c>
      <c r="B441" s="6" t="inlineStr">
        <is>
          <t>09/03/2026</t>
        </is>
      </c>
      <c r="C441" s="6" t="inlineStr">
        <is>
          <t>PROTECCIÓN DE DATOS ANUAL</t>
        </is>
      </c>
      <c r="D441" s="6" t="inlineStr">
        <is>
          <t>ARDID SOLUCIONES INFORMATICAS SL</t>
        </is>
      </c>
      <c r="E441" s="4" t="n">
        <v>150</v>
      </c>
      <c r="F441" s="6" t="n"/>
    </row>
    <row r="442">
      <c r="A442" s="6" t="inlineStr">
        <is>
          <t>1.034,00</t>
        </is>
      </c>
      <c r="B442" s="6" t="inlineStr">
        <is>
          <t>09/03/2026</t>
        </is>
      </c>
      <c r="C442" s="6" t="inlineStr">
        <is>
          <t>COMPRAS DIVERSAS</t>
        </is>
      </c>
      <c r="D442" s="6" t="inlineStr">
        <is>
          <t>ACTION RETAIL SPAIN SL.</t>
        </is>
      </c>
      <c r="E442" s="4" t="n">
        <v>18.12</v>
      </c>
      <c r="F442" s="6" t="n"/>
    </row>
    <row r="443">
      <c r="A443" s="6" t="inlineStr">
        <is>
          <t>1.033,00</t>
        </is>
      </c>
      <c r="B443" s="6" t="inlineStr">
        <is>
          <t>09/03/2026</t>
        </is>
      </c>
      <c r="C443" s="6" t="inlineStr">
        <is>
          <t>ALQUILER VEHICULO</t>
        </is>
      </c>
      <c r="D443" s="6" t="inlineStr">
        <is>
          <t>IDELLA AUTOMOCION SL</t>
        </is>
      </c>
      <c r="E443" s="4" t="n">
        <v>140.5</v>
      </c>
      <c r="F443" s="6" t="n"/>
    </row>
    <row r="444">
      <c r="A444" s="6" t="inlineStr">
        <is>
          <t>1.032,00</t>
        </is>
      </c>
      <c r="B444" s="6" t="inlineStr">
        <is>
          <t>09/03/2026</t>
        </is>
      </c>
      <c r="C444" s="6" t="inlineStr">
        <is>
          <t>VARIOS</t>
        </is>
      </c>
      <c r="D444" s="6" t="inlineStr">
        <is>
          <t>JYSK DBL IBERIA SLU</t>
        </is>
      </c>
      <c r="E444" s="4" t="n">
        <v>108.35</v>
      </c>
      <c r="F444" s="6" t="n"/>
    </row>
    <row r="445">
      <c r="A445" s="6" t="inlineStr">
        <is>
          <t>1.031,00</t>
        </is>
      </c>
      <c r="B445" s="6" t="inlineStr">
        <is>
          <t>09/03/2026</t>
        </is>
      </c>
      <c r="C445" s="6" t="inlineStr">
        <is>
          <t>IKEA VARIOS</t>
        </is>
      </c>
      <c r="D445" s="6" t="inlineStr">
        <is>
          <t>IKEA IBERICA SAU</t>
        </is>
      </c>
      <c r="E445" s="4" t="n">
        <v>71.55</v>
      </c>
      <c r="F445" s="6" t="n"/>
    </row>
    <row r="446">
      <c r="A446" s="6" t="inlineStr">
        <is>
          <t>1.030,00</t>
        </is>
      </c>
      <c r="B446" s="6" t="inlineStr">
        <is>
          <t>09/03/2026</t>
        </is>
      </c>
      <c r="C446" s="6" t="inlineStr">
        <is>
          <t>VARIOS</t>
        </is>
      </c>
      <c r="D446" s="6" t="inlineStr">
        <is>
          <t>JYSK DBL IBERIA SLU</t>
        </is>
      </c>
      <c r="E446" s="4" t="n">
        <v>25.64</v>
      </c>
      <c r="F446" s="6" t="n"/>
    </row>
    <row r="447">
      <c r="A447" s="6" t="inlineStr">
        <is>
          <t>1.029,00</t>
        </is>
      </c>
      <c r="B447" s="6" t="inlineStr">
        <is>
          <t>09/03/2026</t>
        </is>
      </c>
      <c r="C447" s="6" t="inlineStr">
        <is>
          <t>REPOSTAJE</t>
        </is>
      </c>
      <c r="D447" s="6" t="inlineStr">
        <is>
          <t>PETROCAR LEVANTE SL.</t>
        </is>
      </c>
      <c r="E447" s="4" t="n">
        <v>64.95999999999999</v>
      </c>
      <c r="F447" s="6" t="n"/>
    </row>
    <row r="448">
      <c r="A448" s="6" t="inlineStr">
        <is>
          <t>1.028,00</t>
        </is>
      </c>
      <c r="B448" s="6" t="inlineStr">
        <is>
          <t>09/03/2026</t>
        </is>
      </c>
      <c r="C448" s="6" t="inlineStr">
        <is>
          <t>REPOSTAJE</t>
        </is>
      </c>
      <c r="D448" s="6" t="inlineStr">
        <is>
          <t>REPSOL SOLUCIONES ENERGETICAS SA.</t>
        </is>
      </c>
      <c r="E448" s="4" t="n">
        <v>44.45</v>
      </c>
      <c r="F448" s="6" t="n"/>
    </row>
    <row r="449">
      <c r="A449" s="6" t="inlineStr">
        <is>
          <t>1.027,00</t>
        </is>
      </c>
      <c r="B449" s="6" t="inlineStr">
        <is>
          <t>09/03/2026</t>
        </is>
      </c>
      <c r="C449" s="6" t="inlineStr">
        <is>
          <t>HIDRAQUA</t>
        </is>
      </c>
      <c r="D449" s="6" t="inlineStr">
        <is>
          <t>HIDRAQUA GESTIÓN INTEGRAL DE AGUAS DE LEVANTE SL</t>
        </is>
      </c>
      <c r="E449" s="4" t="n">
        <v>30.65</v>
      </c>
      <c r="F449" s="6" t="n"/>
    </row>
    <row r="450">
      <c r="A450" s="6" t="inlineStr">
        <is>
          <t>1.026,00</t>
        </is>
      </c>
      <c r="B450" s="6" t="inlineStr">
        <is>
          <t>09/03/2026</t>
        </is>
      </c>
      <c r="C450" s="6" t="inlineStr">
        <is>
          <t>REPOSTAJE</t>
        </is>
      </c>
      <c r="D450" s="6" t="inlineStr">
        <is>
          <t>REPSOL SOLUCIONES ENERGETICAS SA.</t>
        </is>
      </c>
      <c r="E450" s="4" t="n">
        <v>41.32</v>
      </c>
      <c r="F450" s="6" t="n"/>
    </row>
    <row r="451">
      <c r="A451" s="6" t="inlineStr">
        <is>
          <t>1.025,00</t>
        </is>
      </c>
      <c r="B451" s="6" t="inlineStr">
        <is>
          <t>09/03/2026</t>
        </is>
      </c>
      <c r="C451" s="6" t="inlineStr">
        <is>
          <t>NATURGY OCTUBRE</t>
        </is>
      </c>
      <c r="D451" s="6" t="inlineStr">
        <is>
          <t>NATURGY IBERIA SA.</t>
        </is>
      </c>
      <c r="E451" s="4" t="n">
        <v>29.71</v>
      </c>
      <c r="F451" s="6" t="n"/>
    </row>
    <row r="452">
      <c r="A452" s="6" t="inlineStr">
        <is>
          <t>1.024,00</t>
        </is>
      </c>
      <c r="B452" s="6" t="inlineStr">
        <is>
          <t>09/03/2026</t>
        </is>
      </c>
      <c r="C452" s="6" t="inlineStr">
        <is>
          <t>RESTO ASESORAMIENTO 2024 Y SUPLIDOS</t>
        </is>
      </c>
      <c r="D452" s="6" t="inlineStr"/>
      <c r="E452" s="4" t="n">
        <v>650</v>
      </c>
      <c r="F452" s="6" t="n"/>
    </row>
    <row r="453">
      <c r="A453" s="6" t="inlineStr">
        <is>
          <t>1.023,00</t>
        </is>
      </c>
      <c r="B453" s="6" t="inlineStr">
        <is>
          <t>09/03/2026</t>
        </is>
      </c>
      <c r="C453" s="6" t="inlineStr">
        <is>
          <t>JAZZTEL OCTUBRE</t>
        </is>
      </c>
      <c r="D453" s="6" t="inlineStr">
        <is>
          <t>ORANGE ESPAGNE SAU.</t>
        </is>
      </c>
      <c r="E453" s="4" t="n">
        <v>41.77</v>
      </c>
      <c r="F453" s="6" t="n"/>
    </row>
    <row r="454">
      <c r="A454" s="6" t="inlineStr">
        <is>
          <t>1.022,00</t>
        </is>
      </c>
      <c r="B454" s="6" t="inlineStr">
        <is>
          <t>09/03/2026</t>
        </is>
      </c>
      <c r="C454" s="6" t="inlineStr">
        <is>
          <t>ABONO MEZCLADOR</t>
        </is>
      </c>
      <c r="D454" s="6" t="inlineStr">
        <is>
          <t>SALTOKI ALICANTE SL.</t>
        </is>
      </c>
      <c r="E454" s="4" t="n">
        <v>133.1</v>
      </c>
      <c r="F454" s="6" t="n"/>
    </row>
    <row r="455">
      <c r="A455" s="6" t="inlineStr">
        <is>
          <t>1.021,00</t>
        </is>
      </c>
      <c r="B455" s="6" t="inlineStr">
        <is>
          <t>09/03/2026</t>
        </is>
      </c>
      <c r="C455" s="6" t="inlineStr">
        <is>
          <t>ABONO MEZCLADOR</t>
        </is>
      </c>
      <c r="D455" s="6" t="inlineStr">
        <is>
          <t>SALTOKI ALICANTE SL.</t>
        </is>
      </c>
      <c r="E455" s="4" t="n">
        <v>-145.75</v>
      </c>
      <c r="F455" s="6" t="n"/>
    </row>
    <row r="456">
      <c r="A456" s="6" t="inlineStr">
        <is>
          <t>1.020,00</t>
        </is>
      </c>
      <c r="B456" s="6" t="inlineStr">
        <is>
          <t>09/03/2026</t>
        </is>
      </c>
      <c r="C456" s="6" t="inlineStr">
        <is>
          <t>ALQUILER NAVE NOVIEMBRE</t>
        </is>
      </c>
      <c r="D456" s="6" t="inlineStr">
        <is>
          <t>PINKY VELVET INTERNATIONAL SL</t>
        </is>
      </c>
      <c r="E456" s="4" t="n">
        <v>350</v>
      </c>
      <c r="F456" s="6" t="n"/>
    </row>
    <row r="457">
      <c r="A457" s="6" t="inlineStr">
        <is>
          <t>1.019,00</t>
        </is>
      </c>
      <c r="B457" s="6" t="inlineStr">
        <is>
          <t>09/03/2026</t>
        </is>
      </c>
      <c r="C457" s="6" t="inlineStr">
        <is>
          <t>VARIOS</t>
        </is>
      </c>
      <c r="D457" s="6" t="inlineStr">
        <is>
          <t>CASH LEVANTE SL</t>
        </is>
      </c>
      <c r="E457" s="4" t="n">
        <v>71.84</v>
      </c>
      <c r="F457" s="6" t="n"/>
    </row>
    <row r="458">
      <c r="A458" s="6" t="inlineStr">
        <is>
          <t>1.018,00</t>
        </is>
      </c>
      <c r="B458" s="6" t="inlineStr">
        <is>
          <t>09/03/2026</t>
        </is>
      </c>
      <c r="C458" s="6" t="inlineStr">
        <is>
          <t>PARKING</t>
        </is>
      </c>
      <c r="D458" s="6" t="inlineStr">
        <is>
          <t>EMPARK APARCAMIENTOS Y SERVICIOS SAU</t>
        </is>
      </c>
      <c r="E458" s="4" t="n">
        <v>9.130000000000001</v>
      </c>
      <c r="F458" s="6" t="n"/>
    </row>
    <row r="459">
      <c r="A459" s="6" t="inlineStr">
        <is>
          <t>1.017,00</t>
        </is>
      </c>
      <c r="B459" s="6" t="inlineStr">
        <is>
          <t>09/03/2026</t>
        </is>
      </c>
      <c r="C459" s="6" t="inlineStr">
        <is>
          <t>REPOSTAJE</t>
        </is>
      </c>
      <c r="D459" s="6" t="inlineStr">
        <is>
          <t>SOCUHER SL</t>
        </is>
      </c>
      <c r="E459" s="4" t="n">
        <v>36.01</v>
      </c>
      <c r="F459" s="6" t="n"/>
    </row>
    <row r="460">
      <c r="A460" s="6" t="inlineStr">
        <is>
          <t>1.016,00</t>
        </is>
      </c>
      <c r="B460" s="6" t="inlineStr">
        <is>
          <t>09/03/2026</t>
        </is>
      </c>
      <c r="C460" s="6" t="inlineStr">
        <is>
          <t>EPIS TRABAJADORES</t>
        </is>
      </c>
      <c r="D460" s="6" t="inlineStr">
        <is>
          <t>SUMINISTROS INDUSTRIALES FARELL SA</t>
        </is>
      </c>
      <c r="E460" s="4" t="n">
        <v>391.46</v>
      </c>
      <c r="F460" s="6" t="n"/>
    </row>
    <row r="461">
      <c r="A461" s="6" t="inlineStr">
        <is>
          <t>1.015,00</t>
        </is>
      </c>
      <c r="B461" s="6" t="inlineStr">
        <is>
          <t>09/03/2026</t>
        </is>
      </c>
      <c r="C461" s="6" t="inlineStr">
        <is>
          <t>MALLAZO</t>
        </is>
      </c>
      <c r="D461" s="6" t="inlineStr">
        <is>
          <t>LA AVENIDA CERAMICAS SL.</t>
        </is>
      </c>
      <c r="E461" s="4" t="n">
        <v>171.6</v>
      </c>
      <c r="F461" s="6" t="n"/>
    </row>
    <row r="462">
      <c r="A462" s="6" t="inlineStr">
        <is>
          <t>1.014,00</t>
        </is>
      </c>
      <c r="B462" s="6" t="inlineStr">
        <is>
          <t>09/03/2026</t>
        </is>
      </c>
      <c r="C462" s="6" t="inlineStr">
        <is>
          <t>GASOLINA OCTUBRE</t>
        </is>
      </c>
      <c r="D462" s="6" t="inlineStr">
        <is>
          <t>PLENOIL SL.</t>
        </is>
      </c>
      <c r="E462" s="4" t="n">
        <v>1493.58</v>
      </c>
      <c r="F462" s="6" t="n"/>
    </row>
    <row r="463">
      <c r="A463" s="6" t="inlineStr">
        <is>
          <t>1.013,00</t>
        </is>
      </c>
      <c r="B463" s="6" t="inlineStr">
        <is>
          <t>09/03/2026</t>
        </is>
      </c>
      <c r="C463" s="6" t="inlineStr">
        <is>
          <t>REPOSTAJE</t>
        </is>
      </c>
      <c r="D463" s="6" t="inlineStr">
        <is>
          <t>JR VIDAL RICO SL</t>
        </is>
      </c>
      <c r="E463" s="4" t="n">
        <v>75.18000000000001</v>
      </c>
      <c r="F463" s="6" t="n"/>
    </row>
    <row r="464">
      <c r="A464" s="6" t="inlineStr">
        <is>
          <t>1.012,00</t>
        </is>
      </c>
      <c r="B464" s="6" t="inlineStr">
        <is>
          <t>09/03/2026</t>
        </is>
      </c>
      <c r="C464" s="6" t="inlineStr">
        <is>
          <t>TM7</t>
        </is>
      </c>
      <c r="D464" s="6" t="inlineStr">
        <is>
          <t>VORWERK ESPAÑA MANAGEMENT SL S COM</t>
        </is>
      </c>
      <c r="E464" s="4" t="n">
        <v>1280.17</v>
      </c>
      <c r="F464" s="6" t="n"/>
    </row>
    <row r="465">
      <c r="A465" s="6" t="inlineStr">
        <is>
          <t>1.011,00</t>
        </is>
      </c>
      <c r="B465" s="6" t="inlineStr">
        <is>
          <t>09/03/2026</t>
        </is>
      </c>
      <c r="C465" s="6" t="inlineStr">
        <is>
          <t>VARIOS</t>
        </is>
      </c>
      <c r="D465" s="6" t="inlineStr">
        <is>
          <t>ACTION RETAIL SPAIN SL.</t>
        </is>
      </c>
      <c r="E465" s="4" t="n">
        <v>64.56</v>
      </c>
      <c r="F465" s="6" t="n"/>
    </row>
    <row r="466">
      <c r="A466" s="6" t="inlineStr">
        <is>
          <t>1.010,00</t>
        </is>
      </c>
      <c r="B466" s="6" t="inlineStr">
        <is>
          <t>09/03/2026</t>
        </is>
      </c>
      <c r="C466" s="6" t="inlineStr">
        <is>
          <t>ASESORÍA LABORAL OCTUBRE</t>
        </is>
      </c>
      <c r="D466" s="6" t="inlineStr"/>
      <c r="E466" s="4" t="n">
        <v>70</v>
      </c>
      <c r="F466" s="6" t="n"/>
    </row>
    <row r="467">
      <c r="A467" s="6" t="inlineStr">
        <is>
          <t>1.009,00</t>
        </is>
      </c>
      <c r="B467" s="6" t="inlineStr">
        <is>
          <t>09/03/2026</t>
        </is>
      </c>
      <c r="C467" s="6" t="inlineStr">
        <is>
          <t>PAQUI TERRAZA</t>
        </is>
      </c>
      <c r="D467" s="6" t="inlineStr">
        <is>
          <t>LEROY MERLIN ESPAÑA SL</t>
        </is>
      </c>
      <c r="E467" s="4" t="n">
        <v>217.27</v>
      </c>
      <c r="F467" s="6" t="n"/>
    </row>
    <row r="468">
      <c r="A468" s="6" t="inlineStr">
        <is>
          <t>1.008,00</t>
        </is>
      </c>
      <c r="B468" s="6" t="inlineStr">
        <is>
          <t>09/03/2026</t>
        </is>
      </c>
      <c r="C468" s="6" t="inlineStr">
        <is>
          <t>VARIOS</t>
        </is>
      </c>
      <c r="D468" s="6" t="inlineStr">
        <is>
          <t>DISTRIBUCION QING YONG SL</t>
        </is>
      </c>
      <c r="E468" s="4" t="n">
        <v>7.85</v>
      </c>
      <c r="F468" s="6" t="n"/>
    </row>
    <row r="469">
      <c r="A469" s="6" t="inlineStr">
        <is>
          <t>1.007,00</t>
        </is>
      </c>
      <c r="B469" s="6" t="inlineStr">
        <is>
          <t>09/03/2026</t>
        </is>
      </c>
      <c r="C469" s="6" t="inlineStr">
        <is>
          <t>REPOSTAJE</t>
        </is>
      </c>
      <c r="D469" s="6" t="inlineStr">
        <is>
          <t>REPSOL SOLUCIONES ENERGETICAS SA.</t>
        </is>
      </c>
      <c r="E469" s="4" t="n">
        <v>47.78</v>
      </c>
      <c r="F469" s="6" t="n"/>
    </row>
    <row r="470">
      <c r="A470" s="6" t="inlineStr">
        <is>
          <t>1.006,00</t>
        </is>
      </c>
      <c r="B470" s="6" t="inlineStr">
        <is>
          <t>09/03/2026</t>
        </is>
      </c>
      <c r="C470" s="6" t="inlineStr">
        <is>
          <t>DIGI OCTUBRE</t>
        </is>
      </c>
      <c r="D470" s="6" t="inlineStr">
        <is>
          <t>DIGI SPAIN TELECOM SL</t>
        </is>
      </c>
      <c r="E470" s="4" t="n">
        <v>9.09</v>
      </c>
      <c r="F470" s="6" t="n"/>
    </row>
    <row r="471">
      <c r="A471" s="6" t="inlineStr">
        <is>
          <t>1.005,00</t>
        </is>
      </c>
      <c r="B471" s="6" t="inlineStr">
        <is>
          <t>09/03/2026</t>
        </is>
      </c>
      <c r="C471" s="6" t="inlineStr">
        <is>
          <t>HOLDED OCTUBRE</t>
        </is>
      </c>
      <c r="D471" s="6" t="inlineStr">
        <is>
          <t>HOLDED TECHNOLOGIES SL.</t>
        </is>
      </c>
      <c r="E471" s="4" t="n">
        <v>59</v>
      </c>
      <c r="F471" s="6" t="n"/>
    </row>
    <row r="472">
      <c r="A472" s="6" t="inlineStr">
        <is>
          <t>1.004,00</t>
        </is>
      </c>
      <c r="B472" s="6" t="inlineStr">
        <is>
          <t>09/03/2026</t>
        </is>
      </c>
      <c r="C472" s="6" t="inlineStr">
        <is>
          <t>AUTONIVELANTE DIEGO</t>
        </is>
      </c>
      <c r="D472" s="6" t="inlineStr">
        <is>
          <t>DECOPARQUE CONSTRUCCIONES Y CONTRATAS SL.</t>
        </is>
      </c>
      <c r="E472" s="4" t="n">
        <v>2700</v>
      </c>
      <c r="F472" s="6" t="n"/>
    </row>
    <row r="473">
      <c r="A473" s="6" t="inlineStr">
        <is>
          <t>1.003,00</t>
        </is>
      </c>
      <c r="B473" s="6" t="inlineStr">
        <is>
          <t>09/03/2026</t>
        </is>
      </c>
      <c r="C473" s="6" t="inlineStr">
        <is>
          <t>CAMION GRAVA JOSE MARIA</t>
        </is>
      </c>
      <c r="D473" s="6" t="inlineStr">
        <is>
          <t>LA AVENIDA CERAMICAS SL.</t>
        </is>
      </c>
      <c r="E473" s="4" t="n">
        <v>168.6</v>
      </c>
      <c r="F473" s="6" t="n"/>
    </row>
    <row r="474">
      <c r="A474" s="6" t="inlineStr">
        <is>
          <t>1.002,00</t>
        </is>
      </c>
      <c r="B474" s="6" t="inlineStr">
        <is>
          <t>09/03/2026</t>
        </is>
      </c>
      <c r="C474" s="6" t="inlineStr">
        <is>
          <t>BELLOGAS TOPOGRAFO</t>
        </is>
      </c>
      <c r="D474" s="6" t="inlineStr"/>
      <c r="E474" s="4" t="n">
        <v>400</v>
      </c>
      <c r="F474" s="6" t="n"/>
    </row>
    <row r="475">
      <c r="A475" s="6" t="inlineStr">
        <is>
          <t>1.001,00</t>
        </is>
      </c>
      <c r="B475" s="6" t="inlineStr">
        <is>
          <t>09/03/2026</t>
        </is>
      </c>
      <c r="C475" s="6" t="inlineStr">
        <is>
          <t>MATERIAL OFICINA</t>
        </is>
      </c>
      <c r="D475" s="6" t="inlineStr">
        <is>
          <t>LOPA PAPER SL.</t>
        </is>
      </c>
      <c r="E475" s="4" t="n">
        <v>3.67</v>
      </c>
      <c r="F475" s="6" t="n"/>
    </row>
    <row r="476">
      <c r="A476" s="6" t="inlineStr">
        <is>
          <t>1.000,00</t>
        </is>
      </c>
      <c r="B476" s="6" t="inlineStr">
        <is>
          <t>09/03/2026</t>
        </is>
      </c>
      <c r="C476" s="6" t="inlineStr">
        <is>
          <t>VARIOS</t>
        </is>
      </c>
      <c r="D476" s="6" t="inlineStr">
        <is>
          <t>ACTION RETAIL SPAIN SL.</t>
        </is>
      </c>
      <c r="E476" s="4" t="n">
        <v>16.77</v>
      </c>
      <c r="F476" s="6" t="n"/>
    </row>
    <row r="477">
      <c r="A477" s="6" t="inlineStr">
        <is>
          <t>999,00</t>
        </is>
      </c>
      <c r="B477" s="6" t="inlineStr">
        <is>
          <t>09/03/2026</t>
        </is>
      </c>
      <c r="C477" s="6" t="inlineStr">
        <is>
          <t>VARIOS</t>
        </is>
      </c>
      <c r="D477" s="6" t="inlineStr">
        <is>
          <t>ACTION RETAIL SPAIN SL.</t>
        </is>
      </c>
      <c r="E477" s="4" t="n">
        <v>20.74</v>
      </c>
      <c r="F477" s="6" t="n"/>
    </row>
    <row r="478">
      <c r="A478" s="6" t="inlineStr">
        <is>
          <t>998,00</t>
        </is>
      </c>
      <c r="B478" s="6" t="inlineStr">
        <is>
          <t>09/03/2026</t>
        </is>
      </c>
      <c r="C478" s="6" t="inlineStr">
        <is>
          <t>REPOSTAJE</t>
        </is>
      </c>
      <c r="D478" s="6" t="inlineStr">
        <is>
          <t>REPSOL SOLUCIONES ENERGETICAS SA.</t>
        </is>
      </c>
      <c r="E478" s="4" t="n">
        <v>41.32</v>
      </c>
      <c r="F478" s="6" t="n"/>
    </row>
    <row r="479">
      <c r="A479" s="6" t="inlineStr">
        <is>
          <t>997,00</t>
        </is>
      </c>
      <c r="B479" s="6" t="inlineStr">
        <is>
          <t>09/03/2026</t>
        </is>
      </c>
      <c r="C479" s="6" t="inlineStr">
        <is>
          <t>VARIOS</t>
        </is>
      </c>
      <c r="D479" s="6" t="inlineStr">
        <is>
          <t>ACTION RETAIL SPAIN SL.</t>
        </is>
      </c>
      <c r="E479" s="4" t="n">
        <v>36.71</v>
      </c>
      <c r="F479" s="6" t="n"/>
    </row>
    <row r="480">
      <c r="A480" s="6" t="inlineStr">
        <is>
          <t>996,00</t>
        </is>
      </c>
      <c r="B480" s="6" t="inlineStr">
        <is>
          <t>09/03/2026</t>
        </is>
      </c>
      <c r="C480" s="6" t="inlineStr">
        <is>
          <t>BELLOGAS</t>
        </is>
      </c>
      <c r="D480" s="6" t="inlineStr">
        <is>
          <t>NAYA ARQUITECTURA Y DISEÑO GRAFICO SLP.</t>
        </is>
      </c>
      <c r="E480" s="4" t="n">
        <v>300</v>
      </c>
      <c r="F480" s="6" t="n"/>
    </row>
    <row r="481">
      <c r="A481" s="6" t="inlineStr">
        <is>
          <t>995,00</t>
        </is>
      </c>
      <c r="B481" s="6" t="inlineStr">
        <is>
          <t>09/03/2026</t>
        </is>
      </c>
      <c r="C481" s="6" t="inlineStr">
        <is>
          <t>ALQUILER MAQUINARIA</t>
        </is>
      </c>
      <c r="D481" s="6" t="inlineStr">
        <is>
          <t>MARHUENDA IMPORTACIONES SL</t>
        </is>
      </c>
      <c r="E481" s="4" t="n">
        <v>181.28</v>
      </c>
      <c r="F481" s="6" t="n"/>
    </row>
    <row r="482">
      <c r="A482" s="6" t="inlineStr">
        <is>
          <t>994,00</t>
        </is>
      </c>
      <c r="B482" s="6" t="inlineStr">
        <is>
          <t>09/03/2026</t>
        </is>
      </c>
      <c r="C482" s="6" t="inlineStr">
        <is>
          <t>REPOSTAJE</t>
        </is>
      </c>
      <c r="D482" s="6" t="inlineStr">
        <is>
          <t>SOCUHER SL</t>
        </is>
      </c>
      <c r="E482" s="4" t="n">
        <v>24.79</v>
      </c>
      <c r="F482" s="6" t="n"/>
    </row>
    <row r="483">
      <c r="A483" s="6" t="inlineStr">
        <is>
          <t>993,00</t>
        </is>
      </c>
      <c r="B483" s="6" t="inlineStr">
        <is>
          <t>10/03/2026</t>
        </is>
      </c>
      <c r="C483" s="6" t="inlineStr">
        <is>
          <t>MEZCLADOR</t>
        </is>
      </c>
      <c r="D483" s="6" t="inlineStr">
        <is>
          <t>LEROY MERLIN ESPAÑA SL</t>
        </is>
      </c>
      <c r="E483" s="4" t="n">
        <v>27.25</v>
      </c>
      <c r="F483" s="6" t="n"/>
    </row>
    <row r="484">
      <c r="A484" s="6" t="inlineStr">
        <is>
          <t>992,00</t>
        </is>
      </c>
      <c r="B484" s="6" t="inlineStr">
        <is>
          <t>10/03/2026</t>
        </is>
      </c>
      <c r="C484" s="6" t="inlineStr">
        <is>
          <t>MATERIAL</t>
        </is>
      </c>
      <c r="D484" s="6" t="inlineStr">
        <is>
          <t>LEROY MERLIN ESPAÑA SL</t>
        </is>
      </c>
      <c r="E484" s="4" t="n">
        <v>78.02</v>
      </c>
      <c r="F484" s="6" t="n"/>
    </row>
    <row r="485">
      <c r="A485" s="6" t="inlineStr">
        <is>
          <t>991,00</t>
        </is>
      </c>
      <c r="B485" s="6" t="inlineStr">
        <is>
          <t>10/03/2026</t>
        </is>
      </c>
      <c r="C485" s="6" t="inlineStr">
        <is>
          <t>NATURGY SEPTIEMBRE</t>
        </is>
      </c>
      <c r="D485" s="6" t="inlineStr">
        <is>
          <t>NATURGY IBERIA SA.</t>
        </is>
      </c>
      <c r="E485" s="4" t="n">
        <v>19.89</v>
      </c>
      <c r="F485" s="6" t="n"/>
    </row>
    <row r="486">
      <c r="A486" s="6" t="inlineStr">
        <is>
          <t>990,00</t>
        </is>
      </c>
      <c r="B486" s="6" t="inlineStr">
        <is>
          <t>10/03/2026</t>
        </is>
      </c>
      <c r="C486" s="6" t="inlineStr">
        <is>
          <t>JAZZTEL SEPTIEMBRE</t>
        </is>
      </c>
      <c r="D486" s="6" t="inlineStr">
        <is>
          <t>ORANGE ESPAGNE SAU.</t>
        </is>
      </c>
      <c r="E486" s="4" t="n">
        <v>42.67</v>
      </c>
      <c r="F486" s="6" t="n"/>
    </row>
    <row r="487">
      <c r="A487" s="6" t="inlineStr">
        <is>
          <t>989,00</t>
        </is>
      </c>
      <c r="B487" s="6" t="inlineStr">
        <is>
          <t>10/03/2026</t>
        </is>
      </c>
      <c r="C487" s="6" t="inlineStr">
        <is>
          <t>REPOSTAJE</t>
        </is>
      </c>
      <c r="D487" s="6" t="inlineStr">
        <is>
          <t>REPSOL SOLUCIONES ENERGETICAS SA.</t>
        </is>
      </c>
      <c r="E487" s="4" t="n">
        <v>49.59</v>
      </c>
      <c r="F487" s="6" t="n"/>
    </row>
    <row r="488">
      <c r="A488" s="6" t="inlineStr">
        <is>
          <t>987,00</t>
        </is>
      </c>
      <c r="B488" s="6" t="inlineStr">
        <is>
          <t>10/03/2026</t>
        </is>
      </c>
      <c r="C488" s="6" t="inlineStr">
        <is>
          <t>VARIOS</t>
        </is>
      </c>
      <c r="D488" s="6" t="inlineStr">
        <is>
          <t>DISTRIBUCION QING YONG SL</t>
        </is>
      </c>
      <c r="E488" s="4" t="n">
        <v>2.98</v>
      </c>
      <c r="F488" s="6" t="n"/>
    </row>
    <row r="489">
      <c r="A489" s="6" t="inlineStr">
        <is>
          <t>986,00</t>
        </is>
      </c>
      <c r="B489" s="6" t="inlineStr">
        <is>
          <t>10/03/2026</t>
        </is>
      </c>
      <c r="C489" s="6" t="inlineStr">
        <is>
          <t>MATERIAL OFICINA</t>
        </is>
      </c>
      <c r="D489" s="6" t="inlineStr">
        <is>
          <t>DISTRIBUCION QING YONG SL</t>
        </is>
      </c>
      <c r="E489" s="4" t="n">
        <v>3.97</v>
      </c>
      <c r="F489" s="6" t="n"/>
    </row>
    <row r="490">
      <c r="A490" s="6" t="inlineStr">
        <is>
          <t>985,00</t>
        </is>
      </c>
      <c r="B490" s="6" t="inlineStr">
        <is>
          <t>10/03/2026</t>
        </is>
      </c>
      <c r="C490" s="6" t="inlineStr">
        <is>
          <t>BILLD IN</t>
        </is>
      </c>
      <c r="D490" s="6" t="inlineStr">
        <is>
          <t>SIDE QUEST APES, S.L.</t>
        </is>
      </c>
      <c r="E490" s="4" t="n">
        <v>1138.8</v>
      </c>
      <c r="F490" s="6" t="n"/>
    </row>
    <row r="491">
      <c r="A491" s="6" t="inlineStr">
        <is>
          <t>984,00</t>
        </is>
      </c>
      <c r="B491" s="6" t="inlineStr">
        <is>
          <t>10/03/2026</t>
        </is>
      </c>
      <c r="C491" s="6" t="inlineStr">
        <is>
          <t>VARIOS</t>
        </is>
      </c>
      <c r="D491" s="6" t="inlineStr">
        <is>
          <t>ACTION RETAIL SPAIN SL.</t>
        </is>
      </c>
      <c r="E491" s="4" t="n">
        <v>4.34</v>
      </c>
      <c r="F491" s="6" t="n"/>
    </row>
    <row r="492">
      <c r="A492" s="6" t="inlineStr">
        <is>
          <t>983,00</t>
        </is>
      </c>
      <c r="B492" s="6" t="inlineStr">
        <is>
          <t>10/03/2026</t>
        </is>
      </c>
      <c r="C492" s="6" t="inlineStr">
        <is>
          <t>ALQUILER AVE OCTUBRE</t>
        </is>
      </c>
      <c r="D492" s="6" t="inlineStr">
        <is>
          <t>PINKY VELVET INTERNATIONAL SL</t>
        </is>
      </c>
      <c r="E492" s="4" t="n">
        <v>350</v>
      </c>
      <c r="F492" s="6" t="n"/>
    </row>
    <row r="493">
      <c r="A493" s="6" t="inlineStr">
        <is>
          <t>982,00</t>
        </is>
      </c>
      <c r="B493" s="6" t="inlineStr">
        <is>
          <t>10/03/2026</t>
        </is>
      </c>
      <c r="C493" s="6" t="inlineStr">
        <is>
          <t>ASESORAMIENTO CONTABLE FISCAL</t>
        </is>
      </c>
      <c r="D493" s="6" t="inlineStr"/>
      <c r="E493" s="4" t="n">
        <v>500</v>
      </c>
      <c r="F493" s="6" t="n"/>
    </row>
    <row r="494">
      <c r="A494" s="6" t="inlineStr">
        <is>
          <t>981,00</t>
        </is>
      </c>
      <c r="B494" s="6" t="inlineStr">
        <is>
          <t>10/03/2026</t>
        </is>
      </c>
      <c r="C494" s="6" t="inlineStr">
        <is>
          <t>VARIOS</t>
        </is>
      </c>
      <c r="D494" s="6" t="inlineStr">
        <is>
          <t>ACTION RETAIL SPAIN SL.</t>
        </is>
      </c>
      <c r="E494" s="4" t="n">
        <v>154.62</v>
      </c>
      <c r="F494" s="6" t="n"/>
    </row>
    <row r="495">
      <c r="A495" s="6" t="inlineStr">
        <is>
          <t>980,00</t>
        </is>
      </c>
      <c r="B495" s="6" t="inlineStr">
        <is>
          <t>10/03/2026</t>
        </is>
      </c>
      <c r="C495" s="6" t="inlineStr">
        <is>
          <t>VARIOS</t>
        </is>
      </c>
      <c r="D495" s="6" t="inlineStr">
        <is>
          <t>ACTION RETAIL SPAIN SL.</t>
        </is>
      </c>
      <c r="E495" s="4" t="n">
        <v>17.62</v>
      </c>
      <c r="F495" s="6" t="n"/>
    </row>
    <row r="496">
      <c r="A496" s="6" t="inlineStr">
        <is>
          <t>979,00</t>
        </is>
      </c>
      <c r="B496" s="6" t="inlineStr">
        <is>
          <t>10/03/2026</t>
        </is>
      </c>
      <c r="C496" s="6" t="inlineStr">
        <is>
          <t>VARIOS</t>
        </is>
      </c>
      <c r="D496" s="6" t="inlineStr">
        <is>
          <t>ACTION RETAIL SPAIN SL.</t>
        </is>
      </c>
      <c r="E496" s="4" t="n">
        <v>36.81</v>
      </c>
      <c r="F496" s="6" t="n"/>
    </row>
    <row r="497">
      <c r="A497" s="6" t="inlineStr">
        <is>
          <t>978,00</t>
        </is>
      </c>
      <c r="B497" s="6" t="inlineStr">
        <is>
          <t>10/03/2026</t>
        </is>
      </c>
      <c r="C497" s="6" t="inlineStr">
        <is>
          <t>ASESORÍA JULIO</t>
        </is>
      </c>
      <c r="D497" s="6" t="inlineStr"/>
      <c r="E497" s="4" t="n">
        <v>70</v>
      </c>
      <c r="F497" s="6" t="n"/>
    </row>
    <row r="498">
      <c r="A498" s="6" t="inlineStr">
        <is>
          <t>977,00</t>
        </is>
      </c>
      <c r="B498" s="6" t="inlineStr">
        <is>
          <t>10/03/2026</t>
        </is>
      </c>
      <c r="C498" s="6" t="inlineStr">
        <is>
          <t>GASOLINA SEPTIEMBRE</t>
        </is>
      </c>
      <c r="D498" s="6" t="inlineStr">
        <is>
          <t>PLENOIL SL.</t>
        </is>
      </c>
      <c r="E498" s="4" t="n">
        <v>803.6</v>
      </c>
      <c r="F498" s="6" t="n"/>
    </row>
    <row r="499">
      <c r="A499" s="6" t="inlineStr">
        <is>
          <t>976,00</t>
        </is>
      </c>
      <c r="B499" s="6" t="inlineStr">
        <is>
          <t>10/03/2026</t>
        </is>
      </c>
      <c r="C499" s="6" t="inlineStr">
        <is>
          <t>ASESORIA SEPTIEMBRE</t>
        </is>
      </c>
      <c r="D499" s="6" t="inlineStr"/>
      <c r="E499" s="4" t="n">
        <v>70</v>
      </c>
      <c r="F499" s="6" t="n"/>
    </row>
    <row r="500">
      <c r="A500" s="6" t="inlineStr">
        <is>
          <t>975,00</t>
        </is>
      </c>
      <c r="B500" s="6" t="inlineStr">
        <is>
          <t>10/03/2026</t>
        </is>
      </c>
      <c r="C500" s="6" t="inlineStr">
        <is>
          <t>HERRAMIENTA</t>
        </is>
      </c>
      <c r="D500" s="6" t="inlineStr">
        <is>
          <t>SUMINISTROS INDUSTRIALES FARELL SA</t>
        </is>
      </c>
      <c r="E500" s="4" t="n">
        <v>1053.29</v>
      </c>
      <c r="F500" s="6" t="n"/>
    </row>
    <row r="501">
      <c r="A501" s="6" t="inlineStr">
        <is>
          <t>974,00</t>
        </is>
      </c>
      <c r="B501" s="6" t="inlineStr">
        <is>
          <t>10/03/2026</t>
        </is>
      </c>
      <c r="C501" s="6" t="inlineStr">
        <is>
          <t>REPOSTAJE</t>
        </is>
      </c>
      <c r="D501" s="6" t="inlineStr">
        <is>
          <t>VECTALIA OIL SL.</t>
        </is>
      </c>
      <c r="E501" s="4" t="n">
        <v>33.06</v>
      </c>
      <c r="F501" s="6" t="n"/>
    </row>
    <row r="502">
      <c r="A502" s="6" t="inlineStr">
        <is>
          <t>973,00</t>
        </is>
      </c>
      <c r="B502" s="6" t="inlineStr">
        <is>
          <t>10/03/2026</t>
        </is>
      </c>
      <c r="C502" s="6" t="inlineStr">
        <is>
          <t>CEPILLO WOLFPACK</t>
        </is>
      </c>
      <c r="D502" s="6" t="inlineStr">
        <is>
          <t>CONSYDECOR SL</t>
        </is>
      </c>
      <c r="E502" s="4" t="n">
        <v>18.12</v>
      </c>
      <c r="F502" s="6" t="n"/>
    </row>
    <row r="503">
      <c r="A503" s="6" t="inlineStr">
        <is>
          <t>972,00</t>
        </is>
      </c>
      <c r="B503" s="6" t="inlineStr">
        <is>
          <t>10/03/2026</t>
        </is>
      </c>
      <c r="C503" s="6" t="inlineStr">
        <is>
          <t>DEVOLUCIÓN</t>
        </is>
      </c>
      <c r="D503" s="6" t="inlineStr">
        <is>
          <t>LEROY MERLIN ESPAÑA SL</t>
        </is>
      </c>
      <c r="E503" s="4" t="n">
        <v>-193.65</v>
      </c>
      <c r="F503" s="6" t="n"/>
    </row>
    <row r="504">
      <c r="A504" s="6" t="inlineStr">
        <is>
          <t>971,00</t>
        </is>
      </c>
      <c r="B504" s="6" t="inlineStr">
        <is>
          <t>10/03/2026</t>
        </is>
      </c>
      <c r="C504" s="6" t="inlineStr">
        <is>
          <t>VARIOS</t>
        </is>
      </c>
      <c r="D504" s="6" t="inlineStr">
        <is>
          <t>ACTION RETAIL SPAIN SL.</t>
        </is>
      </c>
      <c r="E504" s="4" t="n">
        <v>20.07</v>
      </c>
      <c r="F504" s="6" t="n"/>
    </row>
    <row r="505">
      <c r="A505" s="6" t="inlineStr">
        <is>
          <t>970,00</t>
        </is>
      </c>
      <c r="B505" s="6" t="inlineStr">
        <is>
          <t>10/03/2026</t>
        </is>
      </c>
      <c r="C505" s="6" t="inlineStr">
        <is>
          <t>GIRO 23/10/2025</t>
        </is>
      </c>
      <c r="D505" s="6" t="inlineStr">
        <is>
          <t>SUMINISTROS INDUSTRIALES FARELL SA</t>
        </is>
      </c>
      <c r="E505" s="4" t="n">
        <v>41.18</v>
      </c>
      <c r="F505" s="6" t="n"/>
    </row>
    <row r="506">
      <c r="A506" s="6" t="inlineStr">
        <is>
          <t>969,00</t>
        </is>
      </c>
      <c r="B506" s="6" t="inlineStr">
        <is>
          <t>10/03/2026</t>
        </is>
      </c>
      <c r="C506" s="6" t="inlineStr">
        <is>
          <t>DIGI SEPTIEMBRE</t>
        </is>
      </c>
      <c r="D506" s="6" t="inlineStr">
        <is>
          <t>DIGI SPAIN TELECOM SL</t>
        </is>
      </c>
      <c r="E506" s="4" t="n">
        <v>9.09</v>
      </c>
      <c r="F506" s="6" t="n"/>
    </row>
    <row r="507">
      <c r="A507" s="6" t="inlineStr">
        <is>
          <t>968,00</t>
        </is>
      </c>
      <c r="B507" s="6" t="inlineStr">
        <is>
          <t>10/03/2026</t>
        </is>
      </c>
      <c r="C507" s="6" t="inlineStr">
        <is>
          <t>VARIOS</t>
        </is>
      </c>
      <c r="D507" s="6" t="inlineStr">
        <is>
          <t>CASH LEVANTE SL</t>
        </is>
      </c>
      <c r="E507" s="4" t="n">
        <v>83.45</v>
      </c>
      <c r="F507" s="6" t="n"/>
    </row>
    <row r="508">
      <c r="A508" s="6" t="inlineStr">
        <is>
          <t>967,00</t>
        </is>
      </c>
      <c r="B508" s="6" t="inlineStr">
        <is>
          <t>10/03/2026</t>
        </is>
      </c>
      <c r="C508" s="6" t="inlineStr">
        <is>
          <t>HOLDED SEPTIEMBRE</t>
        </is>
      </c>
      <c r="D508" s="6" t="inlineStr">
        <is>
          <t>HOLDED TECHNOLOGIES SL.</t>
        </is>
      </c>
      <c r="E508" s="4" t="n">
        <v>59</v>
      </c>
      <c r="F508" s="6" t="n"/>
    </row>
    <row r="509">
      <c r="A509" s="6" t="inlineStr">
        <is>
          <t>966,00</t>
        </is>
      </c>
      <c r="B509" s="6" t="inlineStr">
        <is>
          <t>10/03/2026</t>
        </is>
      </c>
      <c r="C509" s="6" t="inlineStr">
        <is>
          <t>GASOLINA</t>
        </is>
      </c>
      <c r="D509" s="6" t="inlineStr">
        <is>
          <t>HIJOS DE NAVARRO ROBLES SL</t>
        </is>
      </c>
      <c r="E509" s="4" t="n">
        <v>16.53</v>
      </c>
      <c r="F509" s="6" t="n"/>
    </row>
    <row r="510">
      <c r="A510" s="6" t="inlineStr">
        <is>
          <t>965,00</t>
        </is>
      </c>
      <c r="B510" s="6" t="inlineStr">
        <is>
          <t>10/03/2026</t>
        </is>
      </c>
      <c r="C510" s="6" t="inlineStr">
        <is>
          <t>MATERIAL VARIO</t>
        </is>
      </c>
      <c r="D510" s="6" t="inlineStr">
        <is>
          <t>LEROY MERLIN ESPAÑA SL</t>
        </is>
      </c>
      <c r="E510" s="4" t="n">
        <v>520.6</v>
      </c>
      <c r="F510" s="6" t="n"/>
    </row>
    <row r="511">
      <c r="A511" s="6" t="inlineStr">
        <is>
          <t>964,00</t>
        </is>
      </c>
      <c r="B511" s="6" t="inlineStr">
        <is>
          <t>10/03/2026</t>
        </is>
      </c>
      <c r="C511" s="6" t="inlineStr">
        <is>
          <t>REGALO NAVIDAD</t>
        </is>
      </c>
      <c r="D511" s="6" t="inlineStr">
        <is>
          <t>MAKRO DISTRIBUCIONES MAYORISTAS SA</t>
        </is>
      </c>
      <c r="E511" s="4" t="n">
        <v>275.05</v>
      </c>
      <c r="F511" s="6" t="n"/>
    </row>
    <row r="512">
      <c r="A512" s="6" t="inlineStr">
        <is>
          <t>963,00</t>
        </is>
      </c>
      <c r="B512" s="6" t="inlineStr">
        <is>
          <t>10/03/2026</t>
        </is>
      </c>
      <c r="C512" s="6" t="inlineStr">
        <is>
          <t>VARIOS</t>
        </is>
      </c>
      <c r="D512" s="6" t="inlineStr">
        <is>
          <t>CASH LEVANTE SL</t>
        </is>
      </c>
      <c r="E512" s="4" t="n">
        <v>14.76</v>
      </c>
      <c r="F512" s="6" t="n"/>
    </row>
    <row r="513">
      <c r="A513" s="6" t="inlineStr">
        <is>
          <t>962,00</t>
        </is>
      </c>
      <c r="B513" s="6" t="inlineStr">
        <is>
          <t>10/03/2026</t>
        </is>
      </c>
      <c r="C513" s="6" t="inlineStr">
        <is>
          <t>RESPOSTAJE</t>
        </is>
      </c>
      <c r="D513" s="6" t="inlineStr">
        <is>
          <t>REPSOL SOLUCIONES ENERGETICAS SA.</t>
        </is>
      </c>
      <c r="E513" s="4" t="n">
        <v>16.53</v>
      </c>
      <c r="F513" s="6" t="n"/>
    </row>
    <row r="514">
      <c r="A514" s="6" t="inlineStr">
        <is>
          <t>961,00</t>
        </is>
      </c>
      <c r="B514" s="6" t="inlineStr">
        <is>
          <t>10/03/2026</t>
        </is>
      </c>
      <c r="C514" s="6" t="inlineStr">
        <is>
          <t>ASESORAMIENTO CONTABLE FISCAL NOVIEMBRE</t>
        </is>
      </c>
      <c r="D514" s="6" t="inlineStr"/>
      <c r="E514" s="4" t="n">
        <v>500</v>
      </c>
      <c r="F514" s="6" t="n"/>
    </row>
    <row r="515">
      <c r="A515" s="6" t="inlineStr">
        <is>
          <t>960,00</t>
        </is>
      </c>
      <c r="B515" s="6" t="inlineStr">
        <is>
          <t>10/03/2026</t>
        </is>
      </c>
      <c r="C515" s="6" t="inlineStr">
        <is>
          <t>PARABARAB</t>
        </is>
      </c>
      <c r="D515" s="6" t="inlineStr">
        <is>
          <t>HIDROELIKE SLL</t>
        </is>
      </c>
      <c r="E515" s="4" t="n">
        <v>1000</v>
      </c>
      <c r="F515" s="6" t="n"/>
    </row>
    <row r="516">
      <c r="A516" s="6" t="inlineStr">
        <is>
          <t>959,00</t>
        </is>
      </c>
      <c r="B516" s="6" t="inlineStr">
        <is>
          <t>10/03/2026</t>
        </is>
      </c>
      <c r="C516" s="6" t="inlineStr">
        <is>
          <t>CRISTIAN CHICHI</t>
        </is>
      </c>
      <c r="D516" s="6" t="inlineStr">
        <is>
          <t>MATERIALES DE CONSTRUCCION LOS CAPITOS SL.</t>
        </is>
      </c>
      <c r="E516" s="4" t="n">
        <v>36.69</v>
      </c>
      <c r="F516" s="6" t="n"/>
    </row>
    <row r="517">
      <c r="A517" s="6" t="inlineStr">
        <is>
          <t>958,00</t>
        </is>
      </c>
      <c r="B517" s="6" t="inlineStr">
        <is>
          <t>10/03/2026</t>
        </is>
      </c>
      <c r="C517" s="6" t="inlineStr">
        <is>
          <t>PARABARAB</t>
        </is>
      </c>
      <c r="D517" s="6" t="inlineStr">
        <is>
          <t>LA AVENIDA CERAMICAS SL.</t>
        </is>
      </c>
      <c r="E517" s="4" t="n">
        <v>132.47</v>
      </c>
      <c r="F517" s="6" t="n"/>
    </row>
    <row r="518">
      <c r="A518" s="6" t="inlineStr">
        <is>
          <t>957,00</t>
        </is>
      </c>
      <c r="B518" s="6" t="inlineStr">
        <is>
          <t>10/03/2026</t>
        </is>
      </c>
      <c r="C518" s="6" t="inlineStr">
        <is>
          <t>REPOSTAJE</t>
        </is>
      </c>
      <c r="D518" s="6" t="inlineStr">
        <is>
          <t>VECTALIA OIL SL.</t>
        </is>
      </c>
      <c r="E518" s="4" t="n">
        <v>26.28</v>
      </c>
      <c r="F518" s="6" t="n"/>
    </row>
    <row r="519">
      <c r="A519" s="6" t="inlineStr">
        <is>
          <t>956,00</t>
        </is>
      </c>
      <c r="B519" s="6" t="inlineStr">
        <is>
          <t>10/03/2026</t>
        </is>
      </c>
      <c r="C519" s="6" t="inlineStr">
        <is>
          <t>VARIOS</t>
        </is>
      </c>
      <c r="D519" s="6" t="inlineStr">
        <is>
          <t>CASH LEVANTE SL</t>
        </is>
      </c>
      <c r="E519" s="4" t="n">
        <v>59.79</v>
      </c>
      <c r="F519" s="6" t="n"/>
    </row>
    <row r="520">
      <c r="A520" s="6" t="inlineStr">
        <is>
          <t>955,00</t>
        </is>
      </c>
      <c r="B520" s="6" t="inlineStr">
        <is>
          <t>10/03/2026</t>
        </is>
      </c>
      <c r="C520" s="6" t="inlineStr">
        <is>
          <t>sikaflex</t>
        </is>
      </c>
      <c r="D520" s="6" t="inlineStr">
        <is>
          <t>LEROY MERLIN ESPAÑA SL</t>
        </is>
      </c>
      <c r="E520" s="4" t="n">
        <v>61.66</v>
      </c>
      <c r="F520" s="6" t="n"/>
    </row>
    <row r="521">
      <c r="A521" s="6" t="inlineStr">
        <is>
          <t>954,00</t>
        </is>
      </c>
      <c r="B521" s="6" t="inlineStr">
        <is>
          <t>10/03/2026</t>
        </is>
      </c>
      <c r="C521" s="6" t="inlineStr">
        <is>
          <t>RV BASIC WHITE</t>
        </is>
      </c>
      <c r="D521" s="6" t="inlineStr">
        <is>
          <t>LEROY MERLIN ESPAÑA SL</t>
        </is>
      </c>
      <c r="E521" s="4" t="n">
        <v>43.34</v>
      </c>
      <c r="F521" s="6" t="n"/>
    </row>
    <row r="522">
      <c r="A522" s="6" t="inlineStr">
        <is>
          <t>953,00</t>
        </is>
      </c>
      <c r="B522" s="6" t="inlineStr">
        <is>
          <t>10/03/2026</t>
        </is>
      </c>
      <c r="C522" s="6" t="inlineStr">
        <is>
          <t>HORA MECÁNICO</t>
        </is>
      </c>
      <c r="D522" s="6" t="inlineStr">
        <is>
          <t>CHOOSEMAK SOCIEDAD DE RESPONSABILIDAD LIMITADA</t>
        </is>
      </c>
      <c r="E522" s="4" t="n">
        <v>62</v>
      </c>
      <c r="F522" s="6" t="n"/>
    </row>
    <row r="523">
      <c r="A523" s="6" t="inlineStr">
        <is>
          <t>952,00</t>
        </is>
      </c>
      <c r="B523" s="6" t="inlineStr">
        <is>
          <t>10/03/2026</t>
        </is>
      </c>
      <c r="C523" s="6" t="inlineStr">
        <is>
          <t>JAZZTEL AGOSTO</t>
        </is>
      </c>
      <c r="D523" s="6" t="inlineStr">
        <is>
          <t>ORANGE ESPAGNE SAU.</t>
        </is>
      </c>
      <c r="E523" s="4" t="n">
        <v>41.28</v>
      </c>
      <c r="F523" s="6" t="n"/>
    </row>
    <row r="524">
      <c r="A524" s="6" t="inlineStr">
        <is>
          <t>951,00</t>
        </is>
      </c>
      <c r="B524" s="6" t="inlineStr">
        <is>
          <t>10/03/2026</t>
        </is>
      </c>
      <c r="C524" s="6" t="inlineStr">
        <is>
          <t>DIESEL</t>
        </is>
      </c>
      <c r="D524" s="6" t="inlineStr">
        <is>
          <t>EUROBAMAS SL</t>
        </is>
      </c>
      <c r="E524" s="4" t="n">
        <v>18.6</v>
      </c>
      <c r="F524" s="6" t="n"/>
    </row>
    <row r="525">
      <c r="A525" s="6" t="inlineStr">
        <is>
          <t>950,00</t>
        </is>
      </c>
      <c r="B525" s="6" t="inlineStr">
        <is>
          <t>10/03/2026</t>
        </is>
      </c>
      <c r="C525" s="6" t="inlineStr">
        <is>
          <t>NATURGY AGOSTO</t>
        </is>
      </c>
      <c r="D525" s="6" t="inlineStr">
        <is>
          <t>NATURGY IBERIA SA.</t>
        </is>
      </c>
      <c r="E525" s="4" t="n">
        <v>19.68</v>
      </c>
      <c r="F525" s="6" t="n"/>
    </row>
    <row r="526">
      <c r="A526" s="6" t="inlineStr">
        <is>
          <t>949,00</t>
        </is>
      </c>
      <c r="B526" s="6" t="inlineStr">
        <is>
          <t>10/03/2026</t>
        </is>
      </c>
      <c r="C526" s="6" t="inlineStr">
        <is>
          <t>ASESORAMIENTO CONTABLE FISCAL</t>
        </is>
      </c>
      <c r="D526" s="6" t="inlineStr"/>
      <c r="E526" s="4" t="n">
        <v>500</v>
      </c>
      <c r="F526" s="6" t="n"/>
    </row>
    <row r="527">
      <c r="A527" s="6" t="inlineStr">
        <is>
          <t>948,00</t>
        </is>
      </c>
      <c r="B527" s="6" t="inlineStr">
        <is>
          <t>10/03/2026</t>
        </is>
      </c>
      <c r="C527" s="6" t="inlineStr">
        <is>
          <t>ALQUILER NAVE SEPTIEMBRE</t>
        </is>
      </c>
      <c r="D527" s="6" t="inlineStr">
        <is>
          <t>PINKY VELVET INTERNATIONAL SL</t>
        </is>
      </c>
      <c r="E527" s="4" t="n">
        <v>350</v>
      </c>
      <c r="F527" s="6" t="n"/>
    </row>
    <row r="528">
      <c r="A528" s="6" t="inlineStr">
        <is>
          <t>947,00</t>
        </is>
      </c>
      <c r="B528" s="6" t="inlineStr">
        <is>
          <t>10/03/2026</t>
        </is>
      </c>
      <c r="C528" s="6" t="inlineStr">
        <is>
          <t>ASESORIA LABORAL AGOSTO</t>
        </is>
      </c>
      <c r="D528" s="6" t="inlineStr"/>
      <c r="E528" s="4" t="n">
        <v>70</v>
      </c>
      <c r="F528" s="6" t="n"/>
    </row>
    <row r="529">
      <c r="A529" s="6" t="inlineStr">
        <is>
          <t>946,00</t>
        </is>
      </c>
      <c r="B529" s="6" t="inlineStr">
        <is>
          <t>10/03/2026</t>
        </is>
      </c>
      <c r="C529" s="6" t="inlineStr">
        <is>
          <t>GASOLINA AGOSTO</t>
        </is>
      </c>
      <c r="D529" s="6" t="inlineStr">
        <is>
          <t>PLENOIL SL.</t>
        </is>
      </c>
      <c r="E529" s="4" t="n">
        <v>437.37</v>
      </c>
      <c r="F529" s="6" t="n"/>
    </row>
    <row r="530">
      <c r="A530" s="6" t="inlineStr">
        <is>
          <t>945,00</t>
        </is>
      </c>
      <c r="B530" s="6" t="inlineStr">
        <is>
          <t>10/03/2026</t>
        </is>
      </c>
      <c r="C530" s="6" t="inlineStr">
        <is>
          <t>HORAS MINI</t>
        </is>
      </c>
      <c r="D530" s="6" t="inlineStr">
        <is>
          <t>TREXGRUCO SL.</t>
        </is>
      </c>
      <c r="E530" s="4" t="n">
        <v>360</v>
      </c>
      <c r="F530" s="6" t="n"/>
    </row>
    <row r="531">
      <c r="A531" s="6" t="inlineStr">
        <is>
          <t>944,00</t>
        </is>
      </c>
      <c r="B531" s="6" t="inlineStr">
        <is>
          <t>10/03/2026</t>
        </is>
      </c>
      <c r="C531" s="6" t="inlineStr">
        <is>
          <t>REPOSTAJE</t>
        </is>
      </c>
      <c r="D531" s="6" t="inlineStr">
        <is>
          <t>REPSOL SOLUCIONES ENERGETICAS SA.</t>
        </is>
      </c>
      <c r="E531" s="4" t="n">
        <v>57.85</v>
      </c>
      <c r="F531" s="6" t="n"/>
    </row>
    <row r="532">
      <c r="A532" s="6" t="inlineStr">
        <is>
          <t>943,00</t>
        </is>
      </c>
      <c r="B532" s="6" t="inlineStr">
        <is>
          <t>10/03/2026</t>
        </is>
      </c>
      <c r="C532" s="6" t="inlineStr">
        <is>
          <t>CARPA CENADOR</t>
        </is>
      </c>
      <c r="D532" s="6" t="inlineStr">
        <is>
          <t>EMBARGOSALOBESTIA SL</t>
        </is>
      </c>
      <c r="E532" s="4" t="n">
        <v>43.79</v>
      </c>
      <c r="F532" s="6" t="n"/>
    </row>
    <row r="533">
      <c r="A533" s="6" t="inlineStr">
        <is>
          <t>942,00</t>
        </is>
      </c>
      <c r="B533" s="6" t="inlineStr">
        <is>
          <t>10/03/2026</t>
        </is>
      </c>
      <c r="C533" s="6" t="inlineStr">
        <is>
          <t>RESPOSTAJE</t>
        </is>
      </c>
      <c r="D533" s="6" t="inlineStr">
        <is>
          <t>ESTACION OMEGA ESPINARDO SL</t>
        </is>
      </c>
      <c r="E533" s="4" t="n">
        <v>12.54</v>
      </c>
      <c r="F533" s="6" t="n"/>
    </row>
    <row r="534">
      <c r="A534" s="6" t="inlineStr">
        <is>
          <t>941,00</t>
        </is>
      </c>
      <c r="B534" s="6" t="inlineStr">
        <is>
          <t>10/03/2026</t>
        </is>
      </c>
      <c r="C534" s="6" t="inlineStr">
        <is>
          <t>REPOSTAJE</t>
        </is>
      </c>
      <c r="D534" s="6" t="inlineStr">
        <is>
          <t>REPSOL SOLUCIONES ENERGETICAS SA.</t>
        </is>
      </c>
      <c r="E534" s="4" t="n">
        <v>33.06</v>
      </c>
      <c r="F534" s="6" t="n"/>
    </row>
    <row r="535">
      <c r="A535" s="6" t="inlineStr">
        <is>
          <t>939,00</t>
        </is>
      </c>
      <c r="B535" s="6" t="inlineStr">
        <is>
          <t>10/03/2026</t>
        </is>
      </c>
      <c r="C535" s="6" t="inlineStr">
        <is>
          <t>REPOSTAJE</t>
        </is>
      </c>
      <c r="D535" s="6" t="inlineStr">
        <is>
          <t>DALVI GESTION SL.</t>
        </is>
      </c>
      <c r="E535" s="4" t="n">
        <v>61.79</v>
      </c>
      <c r="F535" s="6" t="n"/>
    </row>
    <row r="536">
      <c r="A536" s="6" t="inlineStr">
        <is>
          <t>937,00</t>
        </is>
      </c>
      <c r="B536" s="6" t="inlineStr">
        <is>
          <t>10/03/2026</t>
        </is>
      </c>
      <c r="C536" s="6" t="inlineStr">
        <is>
          <t>COMPRAS DIVERSAS</t>
        </is>
      </c>
      <c r="D536" s="6" t="inlineStr">
        <is>
          <t>ACTION RETAIL SPAIN SL.</t>
        </is>
      </c>
      <c r="E536" s="4" t="n">
        <v>65.25</v>
      </c>
      <c r="F536" s="6" t="n"/>
    </row>
    <row r="537">
      <c r="A537" s="6" t="inlineStr">
        <is>
          <t>935,00</t>
        </is>
      </c>
      <c r="B537" s="6" t="inlineStr">
        <is>
          <t>10/03/2026</t>
        </is>
      </c>
      <c r="C537" s="6" t="inlineStr">
        <is>
          <t>COMPRAS VARIAS</t>
        </is>
      </c>
      <c r="D537" s="6" t="inlineStr">
        <is>
          <t>ACTION RETAIL SPAIN SL.</t>
        </is>
      </c>
      <c r="E537" s="4" t="n">
        <v>29.23</v>
      </c>
      <c r="F537" s="6" t="n"/>
    </row>
    <row r="538">
      <c r="A538" s="6" t="inlineStr">
        <is>
          <t>933,00</t>
        </is>
      </c>
      <c r="B538" s="6" t="inlineStr">
        <is>
          <t>10/03/2026</t>
        </is>
      </c>
      <c r="C538" s="6" t="inlineStr">
        <is>
          <t>REPOSTAJE</t>
        </is>
      </c>
      <c r="D538" s="6" t="inlineStr">
        <is>
          <t>CARBURANTS J SOLANAS SL</t>
        </is>
      </c>
      <c r="E538" s="4" t="n">
        <v>52.38</v>
      </c>
      <c r="F538" s="6" t="n"/>
    </row>
    <row r="539">
      <c r="A539" s="6" t="inlineStr">
        <is>
          <t>931,00</t>
        </is>
      </c>
      <c r="B539" s="6" t="inlineStr">
        <is>
          <t>10/03/2026</t>
        </is>
      </c>
      <c r="C539" s="6" t="inlineStr">
        <is>
          <t>ABONO MEZCLADOR</t>
        </is>
      </c>
      <c r="D539" s="6" t="inlineStr">
        <is>
          <t>SALTOKI ALICANTE SL.</t>
        </is>
      </c>
      <c r="E539" s="4" t="n">
        <v>145.75</v>
      </c>
      <c r="F539" s="6" t="n"/>
    </row>
    <row r="540">
      <c r="A540" s="6" t="inlineStr">
        <is>
          <t>930,00</t>
        </is>
      </c>
      <c r="B540" s="6" t="inlineStr">
        <is>
          <t>10/03/2026</t>
        </is>
      </c>
      <c r="C540" s="6" t="inlineStr">
        <is>
          <t>FACTURA RECTIFICATIVA</t>
        </is>
      </c>
      <c r="D540" s="6" t="inlineStr">
        <is>
          <t>JYSK DBL IBERIA SLU</t>
        </is>
      </c>
      <c r="E540" s="4" t="n">
        <v>44.26</v>
      </c>
      <c r="F540" s="6" t="n"/>
    </row>
    <row r="541">
      <c r="A541" s="6" t="inlineStr">
        <is>
          <t>929,00</t>
        </is>
      </c>
      <c r="B541" s="6" t="inlineStr">
        <is>
          <t>10/03/2026</t>
        </is>
      </c>
      <c r="C541" s="6" t="inlineStr">
        <is>
          <t>FACTURA RECTIFICATIVA</t>
        </is>
      </c>
      <c r="D541" s="6" t="inlineStr">
        <is>
          <t>IKEA IBERICA SAU</t>
        </is>
      </c>
      <c r="E541" s="4" t="n">
        <v>882.5599999999999</v>
      </c>
      <c r="F541" s="6" t="n"/>
    </row>
    <row r="542">
      <c r="A542" s="6" t="inlineStr">
        <is>
          <t>928,00</t>
        </is>
      </c>
      <c r="B542" s="6" t="inlineStr">
        <is>
          <t>10/03/2026</t>
        </is>
      </c>
      <c r="C542" s="6" t="inlineStr">
        <is>
          <t>PLENOIL ENERO</t>
        </is>
      </c>
      <c r="D542" s="6" t="inlineStr">
        <is>
          <t>PLENOIL SL.</t>
        </is>
      </c>
      <c r="E542" s="4" t="n">
        <v>1109.93</v>
      </c>
      <c r="F542" s="6" t="n"/>
    </row>
    <row r="543">
      <c r="A543" s="6" t="inlineStr">
        <is>
          <t>927,00</t>
        </is>
      </c>
      <c r="B543" s="6" t="inlineStr">
        <is>
          <t>10/03/2026</t>
        </is>
      </c>
      <c r="C543" s="6" t="inlineStr">
        <is>
          <t>AGUA ENERO</t>
        </is>
      </c>
      <c r="D543" s="6" t="inlineStr">
        <is>
          <t>HIDRAQUA GESTIÓN INTEGRAL DE AGUAS DE LEVANTE SL</t>
        </is>
      </c>
      <c r="E543" s="4" t="n">
        <v>31.33</v>
      </c>
      <c r="F543" s="6" t="n"/>
    </row>
    <row r="544">
      <c r="A544" s="6" t="inlineStr">
        <is>
          <t>926,00</t>
        </is>
      </c>
      <c r="B544" s="6" t="inlineStr">
        <is>
          <t>10/03/2026</t>
        </is>
      </c>
      <c r="C544" s="6" t="inlineStr">
        <is>
          <t>SELLO FACTURAS</t>
        </is>
      </c>
      <c r="D544" s="6" t="inlineStr">
        <is>
          <t>ENDLESS SYSTEMS SLU</t>
        </is>
      </c>
      <c r="E544" s="4" t="n">
        <v>26.45</v>
      </c>
      <c r="F544" s="6" t="n"/>
    </row>
    <row r="545">
      <c r="A545" s="6" t="inlineStr">
        <is>
          <t>925,00</t>
        </is>
      </c>
      <c r="B545" s="6" t="inlineStr">
        <is>
          <t>10/03/2026</t>
        </is>
      </c>
      <c r="C545" s="6" t="inlineStr">
        <is>
          <t>ROLLO ALAMBRE</t>
        </is>
      </c>
      <c r="D545" s="6" t="inlineStr">
        <is>
          <t>JUAN JOSÉ MUÑOZ ROBLES</t>
        </is>
      </c>
      <c r="E545" s="4" t="n">
        <v>1000</v>
      </c>
      <c r="F545" s="6" t="n"/>
    </row>
    <row r="546">
      <c r="A546" s="6" t="inlineStr">
        <is>
          <t>924,00</t>
        </is>
      </c>
      <c r="B546" s="6" t="inlineStr">
        <is>
          <t>10/03/2026</t>
        </is>
      </c>
      <c r="C546" s="6" t="inlineStr">
        <is>
          <t>MATERIAL OBRA</t>
        </is>
      </c>
      <c r="D546" s="6" t="inlineStr">
        <is>
          <t>JUAN JOSÉ MUÑOZ ROBLES</t>
        </is>
      </c>
      <c r="E546" s="4" t="n">
        <v>389.7</v>
      </c>
      <c r="F546" s="6" t="n"/>
    </row>
    <row r="547">
      <c r="A547" s="6" t="inlineStr">
        <is>
          <t>923,00</t>
        </is>
      </c>
      <c r="B547" s="6" t="inlineStr">
        <is>
          <t>10/03/2026</t>
        </is>
      </c>
      <c r="C547" s="6" t="inlineStr">
        <is>
          <t>ASESORIA DICIEMBRE</t>
        </is>
      </c>
      <c r="D547" s="6" t="inlineStr"/>
      <c r="E547" s="4" t="n">
        <v>260</v>
      </c>
      <c r="F547" s="6" t="n"/>
    </row>
    <row r="548">
      <c r="A548" s="6" t="inlineStr">
        <is>
          <t>922,00</t>
        </is>
      </c>
      <c r="B548" s="6" t="inlineStr">
        <is>
          <t>10/03/2026</t>
        </is>
      </c>
      <c r="C548" s="6" t="inlineStr">
        <is>
          <t>ASESORIA LABORAL ENERO</t>
        </is>
      </c>
      <c r="D548" s="6" t="inlineStr"/>
      <c r="E548" s="4" t="n">
        <v>260</v>
      </c>
      <c r="F548" s="6" t="n"/>
    </row>
    <row r="549">
      <c r="A549" s="6" t="inlineStr">
        <is>
          <t>917,00</t>
        </is>
      </c>
      <c r="B549" s="6" t="inlineStr">
        <is>
          <t>06/03/2026</t>
        </is>
      </c>
      <c r="C549" s="6" t="inlineStr">
        <is>
          <t>ALQUILER NAVE ENERO</t>
        </is>
      </c>
      <c r="D549" s="6" t="inlineStr">
        <is>
          <t>PINKY VELVET INTERNATIONAL SL</t>
        </is>
      </c>
      <c r="E549" s="4" t="n">
        <v>350</v>
      </c>
      <c r="F549" s="6" t="n"/>
    </row>
    <row r="550">
      <c r="A550" s="6" t="inlineStr">
        <is>
          <t>906,00</t>
        </is>
      </c>
      <c r="B550" s="6" t="inlineStr">
        <is>
          <t>05/03/2026</t>
        </is>
      </c>
      <c r="C550" s="6" t="inlineStr">
        <is>
          <t>REPOSTAJE</t>
        </is>
      </c>
      <c r="D550" s="6" t="inlineStr">
        <is>
          <t>JR VIDAL RICO SL</t>
        </is>
      </c>
      <c r="E550" s="4" t="n">
        <v>59.66</v>
      </c>
      <c r="F550" s="6" t="n"/>
    </row>
    <row r="551">
      <c r="A551" s="6" t="inlineStr">
        <is>
          <t>890,00</t>
        </is>
      </c>
      <c r="B551" s="6" t="inlineStr">
        <is>
          <t>02/03/2026</t>
        </is>
      </c>
      <c r="C551" s="6" t="inlineStr">
        <is>
          <t>REPOSTAJE</t>
        </is>
      </c>
      <c r="D551" s="6" t="inlineStr">
        <is>
          <t>E.E. CAÑIZARES, CB</t>
        </is>
      </c>
      <c r="E551" s="4" t="n">
        <v>74.38</v>
      </c>
      <c r="F551" s="6" t="n"/>
    </row>
    <row r="552">
      <c r="A552" s="6" t="inlineStr">
        <is>
          <t>888,00</t>
        </is>
      </c>
      <c r="B552" s="6" t="inlineStr">
        <is>
          <t>02/03/2026</t>
        </is>
      </c>
      <c r="C552" s="6" t="inlineStr">
        <is>
          <t>GUANTES</t>
        </is>
      </c>
      <c r="D552" s="6" t="inlineStr">
        <is>
          <t>HIJOS DE JOSE BUSQUIER SL</t>
        </is>
      </c>
      <c r="E552" s="4" t="n">
        <v>7.25</v>
      </c>
      <c r="F552" s="6" t="n"/>
    </row>
    <row r="553">
      <c r="A553" s="6" t="inlineStr">
        <is>
          <t>887,00</t>
        </is>
      </c>
      <c r="B553" s="6" t="inlineStr">
        <is>
          <t>02/03/2026</t>
        </is>
      </c>
      <c r="C553" s="6" t="inlineStr">
        <is>
          <t>MATERIAL OBRA</t>
        </is>
      </c>
      <c r="D553" s="6" t="inlineStr">
        <is>
          <t>HIJOS DE JOSE BUSQUIER SL</t>
        </is>
      </c>
      <c r="E553" s="4" t="n">
        <v>321.37</v>
      </c>
      <c r="F553" s="6" t="n"/>
    </row>
    <row r="554">
      <c r="A554" s="6" t="inlineStr">
        <is>
          <t>886,00</t>
        </is>
      </c>
      <c r="B554" s="6" t="inlineStr">
        <is>
          <t>02/03/2026</t>
        </is>
      </c>
      <c r="C554" s="6" t="inlineStr">
        <is>
          <t>REPOSTAJE</t>
        </is>
      </c>
      <c r="D554" s="6" t="inlineStr">
        <is>
          <t>E.S. PINOSO S.L.</t>
        </is>
      </c>
      <c r="E554" s="4" t="n">
        <v>24.9</v>
      </c>
      <c r="F554" s="6" t="n"/>
    </row>
    <row r="555">
      <c r="A555" s="6" t="inlineStr">
        <is>
          <t>885,00</t>
        </is>
      </c>
      <c r="B555" s="6" t="inlineStr">
        <is>
          <t>02/03/2026</t>
        </is>
      </c>
      <c r="C555" s="6" t="inlineStr">
        <is>
          <t>REPOSTAJE</t>
        </is>
      </c>
      <c r="D555" s="6" t="inlineStr">
        <is>
          <t>REPSOL SOLUCIONES ENERGETICAS SA.</t>
        </is>
      </c>
      <c r="E555" s="4" t="n">
        <v>63.79</v>
      </c>
      <c r="F555" s="6" t="n"/>
    </row>
    <row r="556">
      <c r="A556" s="6" t="inlineStr">
        <is>
          <t>878,00</t>
        </is>
      </c>
      <c r="B556" s="6" t="inlineStr">
        <is>
          <t>02/03/2026</t>
        </is>
      </c>
      <c r="C556" s="6" t="inlineStr">
        <is>
          <t>MASCARILLAS / CALDERETA / NIVEL ASER</t>
        </is>
      </c>
      <c r="D556" s="6" t="inlineStr">
        <is>
          <t>JUAN JOSÉ MUÑOZ ROBLES</t>
        </is>
      </c>
      <c r="E556" s="4" t="n">
        <v>976.7</v>
      </c>
      <c r="F556" s="6" t="n"/>
    </row>
    <row r="557">
      <c r="A557" s="6" t="inlineStr">
        <is>
          <t>873,00</t>
        </is>
      </c>
      <c r="B557" s="6" t="inlineStr">
        <is>
          <t>02/03/2026</t>
        </is>
      </c>
      <c r="C557" s="6" t="inlineStr">
        <is>
          <t>BARNIZ</t>
        </is>
      </c>
      <c r="D557" s="6" t="inlineStr">
        <is>
          <t>PINTURAS IDELLA SL.</t>
        </is>
      </c>
      <c r="E557" s="4" t="n">
        <v>7.34</v>
      </c>
      <c r="F557" s="6" t="n"/>
    </row>
    <row r="558">
      <c r="A558" s="6" t="inlineStr">
        <is>
          <t>872,00</t>
        </is>
      </c>
      <c r="B558" s="6" t="inlineStr">
        <is>
          <t>02/03/2026</t>
        </is>
      </c>
      <c r="C558" s="6" t="inlineStr">
        <is>
          <t>DIGI FEBRERO</t>
        </is>
      </c>
      <c r="D558" s="6" t="inlineStr">
        <is>
          <t>DIGI SPAIN TELECOM SL</t>
        </is>
      </c>
      <c r="E558" s="4" t="n">
        <v>9.09</v>
      </c>
      <c r="F558" s="6" t="n"/>
    </row>
    <row r="559">
      <c r="A559" s="6" t="inlineStr">
        <is>
          <t>871,00</t>
        </is>
      </c>
      <c r="B559" s="6" t="inlineStr">
        <is>
          <t>02/03/2026</t>
        </is>
      </c>
      <c r="C559" s="6" t="inlineStr">
        <is>
          <t>CAPAZO / BORRIQUETA / TAPA CONTADOR</t>
        </is>
      </c>
      <c r="D559" s="6" t="inlineStr">
        <is>
          <t>HIJOS DE JOSE BUSQUIER SL</t>
        </is>
      </c>
      <c r="E559" s="4" t="n">
        <v>143.47</v>
      </c>
      <c r="F559" s="6" t="n"/>
    </row>
    <row r="560">
      <c r="A560" s="6" t="inlineStr">
        <is>
          <t>870,00</t>
        </is>
      </c>
      <c r="B560" s="6" t="inlineStr">
        <is>
          <t>02/03/2026</t>
        </is>
      </c>
      <c r="C560" s="6" t="inlineStr">
        <is>
          <t>ESPATULA</t>
        </is>
      </c>
      <c r="D560" s="6" t="inlineStr">
        <is>
          <t>HIJOS DE JOSE BUSQUIER SL</t>
        </is>
      </c>
      <c r="E560" s="4" t="n">
        <v>54.51</v>
      </c>
      <c r="F560" s="6" t="n"/>
    </row>
    <row r="561">
      <c r="A561" s="6" t="inlineStr">
        <is>
          <t>866,00</t>
        </is>
      </c>
      <c r="B561" s="6" t="inlineStr">
        <is>
          <t>26/02/2026</t>
        </is>
      </c>
      <c r="C561" s="6" t="inlineStr">
        <is>
          <t>MATERIAL VARIO</t>
        </is>
      </c>
      <c r="D561" s="6" t="inlineStr">
        <is>
          <t>FERRELDA SL</t>
        </is>
      </c>
      <c r="E561" s="4" t="n">
        <v>44.67</v>
      </c>
      <c r="F561" s="6" t="n"/>
    </row>
    <row r="562">
      <c r="A562" s="6" t="inlineStr">
        <is>
          <t>863,00</t>
        </is>
      </c>
      <c r="B562" s="6" t="inlineStr">
        <is>
          <t>26/02/2026</t>
        </is>
      </c>
      <c r="C562" s="6" t="inlineStr">
        <is>
          <t>TALADRO ATORNILLADOR</t>
        </is>
      </c>
      <c r="D562" s="6" t="inlineStr">
        <is>
          <t>FERRELDA SL</t>
        </is>
      </c>
      <c r="E562" s="4" t="n">
        <v>57.85</v>
      </c>
      <c r="F562" s="6" t="n"/>
    </row>
    <row r="563">
      <c r="A563" s="6" t="inlineStr">
        <is>
          <t>857,00</t>
        </is>
      </c>
      <c r="B563" s="6" t="inlineStr">
        <is>
          <t>24/02/2026</t>
        </is>
      </c>
      <c r="C563" s="6" t="inlineStr">
        <is>
          <t>REPOSTAJE</t>
        </is>
      </c>
      <c r="D563" s="6" t="inlineStr">
        <is>
          <t>E.S. PINOSO S.L.</t>
        </is>
      </c>
      <c r="E563" s="4" t="n">
        <v>107.46</v>
      </c>
      <c r="F563" s="6" t="n"/>
    </row>
    <row r="564">
      <c r="A564" s="6" t="inlineStr">
        <is>
          <t>842,00</t>
        </is>
      </c>
      <c r="B564" s="6" t="inlineStr">
        <is>
          <t>19/02/2026</t>
        </is>
      </c>
      <c r="C564" s="6" t="inlineStr">
        <is>
          <t>DISCO DE CORTE</t>
        </is>
      </c>
      <c r="D564" s="6" t="inlineStr">
        <is>
          <t>FERRETERIA-VISTA ALEGRE SL</t>
        </is>
      </c>
      <c r="E564" s="4" t="n">
        <v>8.26</v>
      </c>
      <c r="F564" s="6" t="n"/>
    </row>
    <row r="565">
      <c r="A565" s="6" t="inlineStr">
        <is>
          <t>826,00</t>
        </is>
      </c>
      <c r="B565" s="6" t="inlineStr">
        <is>
          <t>19/02/2026</t>
        </is>
      </c>
      <c r="C565" s="6" t="inlineStr">
        <is>
          <t>HOLDED ENERO</t>
        </is>
      </c>
      <c r="D565" s="6" t="inlineStr">
        <is>
          <t>HOLDED TECHNOLOGIES SL.</t>
        </is>
      </c>
      <c r="E565" s="4" t="n">
        <v>59</v>
      </c>
      <c r="F565" s="6" t="n"/>
    </row>
    <row r="566">
      <c r="A566" s="7" t="n"/>
      <c r="B566" s="7" t="n"/>
      <c r="C566" s="7" t="inlineStr">
        <is>
          <t>TOTAL GASTOS GENERALES</t>
        </is>
      </c>
      <c r="D566" s="7" t="n"/>
      <c r="E566" s="8">
        <f>SUM(E4:E565)</f>
        <v/>
      </c>
      <c r="F566" s="7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GASTOS DE VEHICULOS (31 facturas)</t>
        </is>
      </c>
    </row>
    <row r="3">
      <c r="A3" s="5" t="inlineStr">
        <is>
          <t>Codigo</t>
        </is>
      </c>
      <c r="B3" s="5" t="inlineStr">
        <is>
          <t>Fecha</t>
        </is>
      </c>
      <c r="C3" s="5" t="inlineStr">
        <is>
          <t>Titulo/Concepto</t>
        </is>
      </c>
      <c r="D3" s="5" t="inlineStr">
        <is>
          <t>Proveedor</t>
        </is>
      </c>
      <c r="E3" s="5" t="inlineStr">
        <is>
          <t>Importe (EUR)</t>
        </is>
      </c>
      <c r="F3" s="5" t="inlineStr">
        <is>
          <t>Observaciones</t>
        </is>
      </c>
    </row>
    <row r="4">
      <c r="A4" s="6" t="inlineStr">
        <is>
          <t>1.792,00</t>
        </is>
      </c>
      <c r="B4" s="6" t="inlineStr">
        <is>
          <t>10/07/2026</t>
        </is>
      </c>
      <c r="C4" s="6" t="inlineStr">
        <is>
          <t>OPEL COMBO - CAMBIO RUEDAS</t>
        </is>
      </c>
      <c r="D4" s="6" t="inlineStr">
        <is>
          <t>AUTOCENTRO JIMENEZ ELDA SL</t>
        </is>
      </c>
      <c r="E4" s="4" t="n">
        <v>552.88</v>
      </c>
      <c r="F4" s="6" t="n"/>
    </row>
    <row r="5">
      <c r="A5" s="6" t="inlineStr">
        <is>
          <t>1.700,00</t>
        </is>
      </c>
      <c r="B5" s="6" t="inlineStr">
        <is>
          <t>12/06/2026</t>
        </is>
      </c>
      <c r="C5" s="6" t="inlineStr">
        <is>
          <t>COMPRA RENAULT SCENIC</t>
        </is>
      </c>
      <c r="D5" s="6" t="inlineStr"/>
      <c r="E5" s="4" t="n">
        <v>1000</v>
      </c>
      <c r="F5" s="6" t="n"/>
    </row>
    <row r="6">
      <c r="A6" s="6" t="inlineStr">
        <is>
          <t>1.660,00</t>
        </is>
      </c>
      <c r="B6" s="6" t="inlineStr">
        <is>
          <t>04/06/2026</t>
        </is>
      </c>
      <c r="C6" s="6" t="inlineStr">
        <is>
          <t>REPARACIÓN COCHE</t>
        </is>
      </c>
      <c r="D6" s="6" t="inlineStr">
        <is>
          <t>AMADOR ALBERT CASCALES Y JOSE FRANCISCO ALBERTO CASCALES TALLERES ALBERT S.C.</t>
        </is>
      </c>
      <c r="E6" s="4" t="n">
        <v>235.24</v>
      </c>
      <c r="F6" s="6" t="n"/>
    </row>
    <row r="7">
      <c r="A7" s="6" t="inlineStr">
        <is>
          <t>1.439,00</t>
        </is>
      </c>
      <c r="B7" s="6" t="inlineStr">
        <is>
          <t>23/04/2026</t>
        </is>
      </c>
      <c r="C7" s="6" t="inlineStr">
        <is>
          <t>PUESTA A PUNTO VEHÍCULO</t>
        </is>
      </c>
      <c r="D7" s="6" t="inlineStr">
        <is>
          <t>AMADOR ALBERT CASCALES Y JOSE FRANCISCO ALBERTO CASCALES TALLERES ALBERT S.C.</t>
        </is>
      </c>
      <c r="E7" s="4" t="n">
        <v>430.77</v>
      </c>
      <c r="F7" s="6" t="n"/>
    </row>
    <row r="8">
      <c r="A8" s="6" t="inlineStr">
        <is>
          <t>1.437,00</t>
        </is>
      </c>
      <c r="B8" s="6" t="inlineStr">
        <is>
          <t>23/04/2026</t>
        </is>
      </c>
      <c r="C8" s="6" t="inlineStr">
        <is>
          <t>COMPRA CINTROEN  C4</t>
        </is>
      </c>
      <c r="D8" s="6" t="inlineStr"/>
      <c r="E8" s="4" t="n">
        <v>1900</v>
      </c>
      <c r="F8" s="6" t="n"/>
    </row>
    <row r="9">
      <c r="A9" s="6" t="inlineStr">
        <is>
          <t>1.434,00</t>
        </is>
      </c>
      <c r="B9" s="6" t="inlineStr">
        <is>
          <t>23/04/2026</t>
        </is>
      </c>
      <c r="C9" s="6" t="inlineStr">
        <is>
          <t>ITV CITROEN C4</t>
        </is>
      </c>
      <c r="D9" s="6" t="inlineStr">
        <is>
          <t>SOCIETAT VALENCIANA D'INSPECCIO TECNICA DE VEHICLES SA.</t>
        </is>
      </c>
      <c r="E9" s="4" t="n">
        <v>47.13</v>
      </c>
      <c r="F9" s="6" t="n"/>
    </row>
    <row r="10">
      <c r="A10" s="6" t="inlineStr">
        <is>
          <t>1.426,00</t>
        </is>
      </c>
      <c r="B10" s="6" t="inlineStr">
        <is>
          <t>23/04/2026</t>
        </is>
      </c>
      <c r="C10" s="6" t="inlineStr">
        <is>
          <t>HONORARIOS CAMBIO COCHE C4</t>
        </is>
      </c>
      <c r="D10" s="6" t="inlineStr">
        <is>
          <t>ACCIONGEST ASEGEST SLP.</t>
        </is>
      </c>
      <c r="E10" s="4" t="n">
        <v>201.9</v>
      </c>
      <c r="F10" s="6" t="n"/>
    </row>
    <row r="11">
      <c r="A11" s="6" t="inlineStr">
        <is>
          <t>1.379,00</t>
        </is>
      </c>
      <c r="B11" s="6" t="inlineStr">
        <is>
          <t>23/04/2026</t>
        </is>
      </c>
      <c r="C11" s="6" t="inlineStr">
        <is>
          <t>REPARACIÓN C4</t>
        </is>
      </c>
      <c r="D11" s="6" t="inlineStr">
        <is>
          <t>AMADOR ALBERT CASCALES Y JOSE FRANCISCO ALBERTO CASCALES TALLERES ALBERT S.C.</t>
        </is>
      </c>
      <c r="E11" s="4" t="n">
        <v>513.41</v>
      </c>
      <c r="F11" s="6" t="n"/>
    </row>
    <row r="12">
      <c r="A12" s="6" t="inlineStr">
        <is>
          <t>1.377,00</t>
        </is>
      </c>
      <c r="B12" s="6" t="inlineStr">
        <is>
          <t>23/04/2026</t>
        </is>
      </c>
      <c r="C12" s="6" t="inlineStr">
        <is>
          <t>REPARACIÓN COCHE</t>
        </is>
      </c>
      <c r="D12" s="6" t="inlineStr">
        <is>
          <t>AMADOR ALBERT CASCALES Y JOSE FRANCISCO ALBERTO CASCALES TALLERES ALBERT S.C.</t>
        </is>
      </c>
      <c r="E12" s="4" t="n">
        <v>884.84</v>
      </c>
      <c r="F12" s="6" t="n"/>
    </row>
    <row r="13">
      <c r="A13" s="6" t="inlineStr">
        <is>
          <t>1.376,00</t>
        </is>
      </c>
      <c r="B13" s="6" t="inlineStr">
        <is>
          <t>23/04/2026</t>
        </is>
      </c>
      <c r="C13" s="6" t="inlineStr">
        <is>
          <t>PASSTILLAS DE FRENO</t>
        </is>
      </c>
      <c r="D13" s="6" t="inlineStr">
        <is>
          <t>AMADOR ALBERT CASCALES Y JOSE FRANCISCO ALBERTO CASCALES TALLERES ALBERT S.C.</t>
        </is>
      </c>
      <c r="E13" s="4" t="n">
        <v>224.06</v>
      </c>
      <c r="F13" s="6" t="n"/>
    </row>
    <row r="14">
      <c r="A14" s="6" t="inlineStr">
        <is>
          <t>1.370,00</t>
        </is>
      </c>
      <c r="B14" s="6" t="inlineStr">
        <is>
          <t>23/04/2026</t>
        </is>
      </c>
      <c r="C14" s="6" t="inlineStr">
        <is>
          <t>REPARACIÓN VEHÍCULO</t>
        </is>
      </c>
      <c r="D14" s="6" t="inlineStr">
        <is>
          <t>AMADOR ALBERT CASCALES Y JOSE FRANCISCO ALBERTO CASCALES TALLERES ALBERT S.C.</t>
        </is>
      </c>
      <c r="E14" s="4" t="n">
        <v>450.74</v>
      </c>
      <c r="F14" s="6" t="n"/>
    </row>
    <row r="15">
      <c r="A15" s="6" t="inlineStr">
        <is>
          <t>1.356,00</t>
        </is>
      </c>
      <c r="B15" s="6" t="inlineStr">
        <is>
          <t>23/04/2026</t>
        </is>
      </c>
      <c r="C15" s="6" t="inlineStr">
        <is>
          <t>REPARACIÓN VEHÍCULO</t>
        </is>
      </c>
      <c r="D15" s="6" t="inlineStr">
        <is>
          <t>AMADOR ALBERT CASCALES Y JOSE FRANCISCO ALBERTO CASCALES TALLERES ALBERT S.C.</t>
        </is>
      </c>
      <c r="E15" s="4" t="n">
        <v>605</v>
      </c>
      <c r="F15" s="6" t="n"/>
    </row>
    <row r="16">
      <c r="A16" s="6" t="inlineStr">
        <is>
          <t>1.308,00</t>
        </is>
      </c>
      <c r="B16" s="6" t="inlineStr">
        <is>
          <t>23/04/2026</t>
        </is>
      </c>
      <c r="C16" s="6" t="inlineStr">
        <is>
          <t>REPARACIÓN</t>
        </is>
      </c>
      <c r="D16" s="6" t="inlineStr">
        <is>
          <t>AMADOR ALBERT CASCALES Y JOSE FRANCISCO ALBERTO CASCALES TALLERES ALBERT S.C.</t>
        </is>
      </c>
      <c r="E16" s="4" t="n">
        <v>74.15000000000001</v>
      </c>
      <c r="F16" s="6" t="n"/>
    </row>
    <row r="17">
      <c r="A17" s="6" t="inlineStr">
        <is>
          <t>1.220,00</t>
        </is>
      </c>
      <c r="B17" s="6" t="inlineStr">
        <is>
          <t>02/04/2026</t>
        </is>
      </c>
      <c r="C17" s="6" t="inlineStr">
        <is>
          <t>PRE ITV CITROEN C4</t>
        </is>
      </c>
      <c r="D17" s="6" t="inlineStr">
        <is>
          <t>AUTOCENTRO JIMENEZ ELDA SL</t>
        </is>
      </c>
      <c r="E17" s="4" t="n">
        <v>85</v>
      </c>
      <c r="F17" s="6" t="n"/>
    </row>
    <row r="18">
      <c r="A18" s="6" t="inlineStr">
        <is>
          <t>1.209,00</t>
        </is>
      </c>
      <c r="B18" s="6" t="inlineStr">
        <is>
          <t>08/04/2026</t>
        </is>
      </c>
      <c r="C18" s="6" t="inlineStr">
        <is>
          <t>REPARACIÓN CITROEN C4</t>
        </is>
      </c>
      <c r="D18" s="6" t="inlineStr">
        <is>
          <t>AMADOR ALBERT CASCALES Y JOSE FRANCISCO ALBERTO CASCALES TALLERES ALBERT S.C.</t>
        </is>
      </c>
      <c r="E18" s="4" t="n">
        <v>373.71</v>
      </c>
      <c r="F18" s="6" t="n"/>
    </row>
    <row r="19">
      <c r="A19" s="6" t="inlineStr">
        <is>
          <t>1.179,00</t>
        </is>
      </c>
      <c r="B19" s="6" t="inlineStr">
        <is>
          <t>31/03/2026</t>
        </is>
      </c>
      <c r="C19" s="6" t="inlineStr">
        <is>
          <t>OPEL MOVANO</t>
        </is>
      </c>
      <c r="D19" s="6" t="inlineStr">
        <is>
          <t>Juan Abellán Lozano</t>
        </is>
      </c>
      <c r="E19" s="4" t="n">
        <v>394.64</v>
      </c>
      <c r="F19" s="6" t="n"/>
    </row>
    <row r="20">
      <c r="A20" s="6" t="inlineStr">
        <is>
          <t>1.098,00</t>
        </is>
      </c>
      <c r="B20" s="6" t="inlineStr">
        <is>
          <t>11/03/2026</t>
        </is>
      </c>
      <c r="C20" s="6" t="inlineStr">
        <is>
          <t>OPEL MOVANO</t>
        </is>
      </c>
      <c r="D20" s="6" t="inlineStr">
        <is>
          <t>AUTOCENTRO JIMENEZ ELDA SL</t>
        </is>
      </c>
      <c r="E20" s="4" t="n">
        <v>296.87</v>
      </c>
      <c r="F20" s="6" t="n"/>
    </row>
    <row r="21">
      <c r="A21" s="6" t="inlineStr">
        <is>
          <t>908,00</t>
        </is>
      </c>
      <c r="B21" s="6" t="inlineStr">
        <is>
          <t>04/03/2026</t>
        </is>
      </c>
      <c r="C21" s="6" t="inlineStr">
        <is>
          <t>OPEL MOVANO</t>
        </is>
      </c>
      <c r="D21" s="6" t="inlineStr">
        <is>
          <t>AUTOCENTRO JIMENEZ ELDA SL</t>
        </is>
      </c>
      <c r="E21" s="4" t="n">
        <v>543.48</v>
      </c>
      <c r="F21" s="6" t="n"/>
    </row>
    <row r="22">
      <c r="A22" s="6" t="inlineStr">
        <is>
          <t>907,00</t>
        </is>
      </c>
      <c r="B22" s="6" t="inlineStr">
        <is>
          <t>04/03/2026</t>
        </is>
      </c>
      <c r="C22" s="6" t="inlineStr">
        <is>
          <t>OPEL COMBO</t>
        </is>
      </c>
      <c r="D22" s="6" t="inlineStr">
        <is>
          <t>AUTOCENTRO JIMENEZ ELDA SL</t>
        </is>
      </c>
      <c r="E22" s="4" t="n">
        <v>221.85</v>
      </c>
      <c r="F22" s="6" t="n"/>
    </row>
    <row r="23">
      <c r="A23" s="6" t="inlineStr">
        <is>
          <t>838,00</t>
        </is>
      </c>
      <c r="B23" s="6" t="inlineStr">
        <is>
          <t>19/02/2026</t>
        </is>
      </c>
      <c r="C23" s="6" t="inlineStr">
        <is>
          <t>CAMBIO RUEDAS</t>
        </is>
      </c>
      <c r="D23" s="6" t="inlineStr">
        <is>
          <t>AUTOCENTRO JIMENEZ ELDA SL</t>
        </is>
      </c>
      <c r="E23" s="4" t="n">
        <v>239.28</v>
      </c>
      <c r="F23" s="6" t="n"/>
    </row>
    <row r="24">
      <c r="A24" s="6" t="inlineStr">
        <is>
          <t>837,00</t>
        </is>
      </c>
      <c r="B24" s="6" t="inlineStr">
        <is>
          <t>19/02/2026</t>
        </is>
      </c>
      <c r="C24" s="6" t="inlineStr">
        <is>
          <t>REVISIÓN VEHÍCULO</t>
        </is>
      </c>
      <c r="D24" s="6" t="inlineStr">
        <is>
          <t>AUTOCENTRO JIMENEZ ELDA SL</t>
        </is>
      </c>
      <c r="E24" s="4" t="n">
        <v>102</v>
      </c>
      <c r="F24" s="6" t="n"/>
    </row>
    <row r="25">
      <c r="A25" s="6" t="inlineStr">
        <is>
          <t>836,00</t>
        </is>
      </c>
      <c r="B25" s="6" t="inlineStr">
        <is>
          <t>19/02/2026</t>
        </is>
      </c>
      <c r="C25" s="6" t="inlineStr">
        <is>
          <t>PARABRISAS</t>
        </is>
      </c>
      <c r="D25" s="6" t="inlineStr">
        <is>
          <t>AUTOCENTRO JIMENEZ ELDA SL</t>
        </is>
      </c>
      <c r="E25" s="4" t="n">
        <v>24</v>
      </c>
      <c r="F25" s="6" t="n"/>
    </row>
    <row r="26">
      <c r="A26" s="6" t="inlineStr">
        <is>
          <t>835,00</t>
        </is>
      </c>
      <c r="B26" s="6" t="inlineStr">
        <is>
          <t>19/02/2026</t>
        </is>
      </c>
      <c r="C26" s="6" t="inlineStr">
        <is>
          <t>OPEL MOVANO</t>
        </is>
      </c>
      <c r="D26" s="6" t="inlineStr">
        <is>
          <t>FLEXEM CAR 2020 SL.</t>
        </is>
      </c>
      <c r="E26" s="4" t="n">
        <v>21900</v>
      </c>
      <c r="F26" s="6" t="n"/>
    </row>
    <row r="27">
      <c r="A27" s="6" t="inlineStr">
        <is>
          <t>834,00</t>
        </is>
      </c>
      <c r="B27" s="6" t="inlineStr">
        <is>
          <t>20/02/2026</t>
        </is>
      </c>
      <c r="C27" s="6" t="inlineStr">
        <is>
          <t>AUTODIAGNOSTICO VEHICULO</t>
        </is>
      </c>
      <c r="D27" s="6" t="inlineStr">
        <is>
          <t>AUTOCENTRO JIMENEZ ELDA SL</t>
        </is>
      </c>
      <c r="E27" s="4" t="n">
        <v>60</v>
      </c>
      <c r="F27" s="6" t="n"/>
    </row>
    <row r="28">
      <c r="A28" s="6" t="inlineStr">
        <is>
          <t>833,00</t>
        </is>
      </c>
      <c r="B28" s="6" t="inlineStr">
        <is>
          <t>20/02/2026</t>
        </is>
      </c>
      <c r="C28" s="6" t="inlineStr">
        <is>
          <t>REPARACIÓN VEHÍCULO</t>
        </is>
      </c>
      <c r="D28" s="6" t="inlineStr">
        <is>
          <t>AMADOR ALBERT CASCALES Y JOSE FRANCISCO ALBERTO CASCALES TALLERES ALBERT S.C.</t>
        </is>
      </c>
      <c r="E28" s="4" t="n">
        <v>304.16</v>
      </c>
      <c r="F28" s="6" t="n"/>
    </row>
    <row r="29">
      <c r="A29" s="6" t="inlineStr">
        <is>
          <t>832,00</t>
        </is>
      </c>
      <c r="B29" s="6" t="inlineStr">
        <is>
          <t>20/02/2026</t>
        </is>
      </c>
      <c r="C29" s="6" t="inlineStr">
        <is>
          <t>CAMBIO ACEITE</t>
        </is>
      </c>
      <c r="D29" s="6" t="inlineStr">
        <is>
          <t>AUTOCENTRO JIMENEZ ELDA SL</t>
        </is>
      </c>
      <c r="E29" s="4" t="n">
        <v>4.53</v>
      </c>
      <c r="F29" s="6" t="n"/>
    </row>
    <row r="30">
      <c r="A30" s="6" t="inlineStr">
        <is>
          <t>831,00</t>
        </is>
      </c>
      <c r="B30" s="6" t="inlineStr">
        <is>
          <t>20/02/2026</t>
        </is>
      </c>
      <c r="C30" s="6" t="inlineStr">
        <is>
          <t>REPOSTAJE</t>
        </is>
      </c>
      <c r="D30" s="6" t="inlineStr">
        <is>
          <t>CONCORDY SA</t>
        </is>
      </c>
      <c r="E30" s="4" t="n">
        <v>73.20999999999999</v>
      </c>
      <c r="F30" s="6" t="n"/>
    </row>
    <row r="31">
      <c r="A31" s="6" t="inlineStr">
        <is>
          <t>830,00</t>
        </is>
      </c>
      <c r="B31" s="6" t="inlineStr">
        <is>
          <t>20/02/2026</t>
        </is>
      </c>
      <c r="C31" s="6" t="inlineStr">
        <is>
          <t>OPEL COMBO</t>
        </is>
      </c>
      <c r="D31" s="6" t="inlineStr">
        <is>
          <t>FLEXICAR INTERNACIONAL SL.</t>
        </is>
      </c>
      <c r="E31" s="4" t="n">
        <v>18252.89</v>
      </c>
      <c r="F31" s="6" t="n"/>
    </row>
    <row r="32">
      <c r="A32" s="6" t="inlineStr">
        <is>
          <t>829,00</t>
        </is>
      </c>
      <c r="B32" s="6" t="inlineStr">
        <is>
          <t>20/02/2026</t>
        </is>
      </c>
      <c r="C32" s="6" t="inlineStr">
        <is>
          <t>REVISION VEHICULO</t>
        </is>
      </c>
      <c r="D32" s="6" t="inlineStr">
        <is>
          <t>AUTOCENTRO JIMENEZ ELDA SL</t>
        </is>
      </c>
      <c r="E32" s="4" t="n">
        <v>77.59</v>
      </c>
      <c r="F32" s="6" t="n"/>
    </row>
    <row r="33">
      <c r="A33" s="6" t="inlineStr">
        <is>
          <t>828,00</t>
        </is>
      </c>
      <c r="B33" s="6" t="inlineStr">
        <is>
          <t>20/02/2026</t>
        </is>
      </c>
      <c r="C33" s="6" t="inlineStr">
        <is>
          <t>REVISION C4</t>
        </is>
      </c>
      <c r="D33" s="6" t="inlineStr">
        <is>
          <t>AMADOR ALBERT CASCALES Y JOSE FRANCISCO ALBERTO CASCALES TALLERES ALBERT S.C.</t>
        </is>
      </c>
      <c r="E33" s="4" t="n">
        <v>114.05</v>
      </c>
      <c r="F33" s="6" t="n"/>
    </row>
    <row r="34">
      <c r="A34" s="6" t="inlineStr">
        <is>
          <t>827,00</t>
        </is>
      </c>
      <c r="B34" s="6" t="inlineStr">
        <is>
          <t>20/02/2026</t>
        </is>
      </c>
      <c r="C34" s="6" t="inlineStr">
        <is>
          <t>REPARACIÓN VEHICULO</t>
        </is>
      </c>
      <c r="D34" s="6" t="inlineStr">
        <is>
          <t>AUTOCENTRO JIMENEZ ELDA SL</t>
        </is>
      </c>
      <c r="E34" s="4" t="n">
        <v>677.4400000000001</v>
      </c>
      <c r="F34" s="6" t="n"/>
    </row>
    <row r="35">
      <c r="A35" s="7" t="n"/>
      <c r="B35" s="7" t="n"/>
      <c r="C35" s="7" t="inlineStr">
        <is>
          <t>TOTAL VEHICULOS</t>
        </is>
      </c>
      <c r="D35" s="7" t="n"/>
      <c r="E35" s="8">
        <f>SUM(E4:E34)</f>
        <v/>
      </c>
      <c r="F35" s="7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6" customWidth="1" min="4" max="4"/>
    <col width="10" customWidth="1" min="5" max="5"/>
    <col width="14" customWidth="1" min="6" max="6"/>
  </cols>
  <sheetData>
    <row r="1">
      <c r="A1" s="1" t="inlineStr">
        <is>
          <t>GASTOS DE MANO DE OBRA</t>
        </is>
      </c>
    </row>
    <row r="2">
      <c r="A2" s="2" t="inlineStr">
        <is>
          <t>Tarifa: 20 EUR/hora (configurable)</t>
        </is>
      </c>
    </row>
    <row r="4">
      <c r="A4" s="5" t="inlineStr">
        <is>
          <t>Proyecto</t>
        </is>
      </c>
      <c r="B4" s="5" t="inlineStr">
        <is>
          <t>Horas</t>
        </is>
      </c>
      <c r="C4" s="5" t="inlineStr">
        <is>
          <t>Tarifa (EUR/h)</t>
        </is>
      </c>
      <c r="D4" s="5" t="inlineStr">
        <is>
          <t>Total (EUR)</t>
        </is>
      </c>
      <c r="E4" s="5" t="inlineStr">
        <is>
          <t>Ano</t>
        </is>
      </c>
      <c r="F4" s="5" t="inlineStr">
        <is>
          <t>% del Total</t>
        </is>
      </c>
    </row>
    <row r="5">
      <c r="A5" s="6" t="inlineStr">
        <is>
          <t>FORMENTERA 12, JOAQUIN</t>
        </is>
      </c>
      <c r="B5" s="6" t="n">
        <v>4043</v>
      </c>
      <c r="C5" s="4" t="n">
        <v>20</v>
      </c>
      <c r="D5" s="4">
        <f>B5*C5</f>
        <v/>
      </c>
      <c r="E5" s="6" t="n">
        <v>2026</v>
      </c>
      <c r="F5" s="6">
        <f>D5/D30</f>
        <v/>
      </c>
    </row>
    <row r="6">
      <c r="A6" s="6" t="inlineStr">
        <is>
          <t>PLAZA CIRCULAR</t>
        </is>
      </c>
      <c r="B6" s="6" t="n">
        <v>1963</v>
      </c>
      <c r="C6" s="4" t="n">
        <v>20</v>
      </c>
      <c r="D6" s="4">
        <f>B6*C6</f>
        <v/>
      </c>
      <c r="E6" s="6" t="n">
        <v>2026</v>
      </c>
      <c r="F6" s="6">
        <f>D6/D30</f>
        <v/>
      </c>
    </row>
    <row r="7">
      <c r="A7" s="6" t="inlineStr">
        <is>
          <t>LA ALBERCA</t>
        </is>
      </c>
      <c r="B7" s="6" t="n">
        <v>1576</v>
      </c>
      <c r="C7" s="4" t="n">
        <v>20</v>
      </c>
      <c r="D7" s="4">
        <f>B7*C7</f>
        <v/>
      </c>
      <c r="E7" s="6" t="n">
        <v>2026</v>
      </c>
      <c r="F7" s="6">
        <f>D7/D30</f>
        <v/>
      </c>
    </row>
    <row r="8">
      <c r="A8" s="6" t="inlineStr">
        <is>
          <t>OBRA LUC2</t>
        </is>
      </c>
      <c r="B8" s="6" t="n">
        <v>1049</v>
      </c>
      <c r="C8" s="4" t="n">
        <v>20</v>
      </c>
      <c r="D8" s="4">
        <f>B8*C8</f>
        <v/>
      </c>
      <c r="E8" s="6" t="n">
        <v>2026</v>
      </c>
      <c r="F8" s="6">
        <f>D8/D30</f>
        <v/>
      </c>
    </row>
    <row r="9">
      <c r="A9" s="6" t="inlineStr">
        <is>
          <t>A-13</t>
        </is>
      </c>
      <c r="B9" s="6" t="n">
        <v>808</v>
      </c>
      <c r="C9" s="4" t="n">
        <v>20</v>
      </c>
      <c r="D9" s="4">
        <f>B9*C9</f>
        <v/>
      </c>
      <c r="E9" s="6" t="n">
        <v>2026</v>
      </c>
      <c r="F9" s="6">
        <f>D9/D30</f>
        <v/>
      </c>
    </row>
    <row r="10">
      <c r="A10" s="6" t="inlineStr">
        <is>
          <t>LA PARTE DIFICIL, ALICANTE</t>
        </is>
      </c>
      <c r="B10" s="6" t="n">
        <v>750</v>
      </c>
      <c r="C10" s="4" t="n">
        <v>20</v>
      </c>
      <c r="D10" s="4">
        <f>B10*C10</f>
        <v/>
      </c>
      <c r="E10" s="6" t="n">
        <v>2026</v>
      </c>
      <c r="F10" s="6">
        <f>D10/D30</f>
        <v/>
      </c>
    </row>
    <row r="11">
      <c r="A11" s="6" t="inlineStr">
        <is>
          <t>LA PARTE DIFICIL, MURCIA</t>
        </is>
      </c>
      <c r="B11" s="6" t="n">
        <v>51</v>
      </c>
      <c r="C11" s="4" t="n">
        <v>20</v>
      </c>
      <c r="D11" s="4">
        <f>B11*C11</f>
        <v/>
      </c>
      <c r="E11" s="6" t="n">
        <v>2026</v>
      </c>
      <c r="F11" s="6">
        <f>D11/D30</f>
        <v/>
      </c>
    </row>
    <row r="12">
      <c r="A12" s="6" t="inlineStr">
        <is>
          <t>CARTAGENA, MURCIA</t>
        </is>
      </c>
      <c r="B12" s="6" t="n">
        <v>630</v>
      </c>
      <c r="C12" s="4" t="n">
        <v>20</v>
      </c>
      <c r="D12" s="4">
        <f>B12*C12</f>
        <v/>
      </c>
      <c r="E12" s="6" t="n">
        <v>2026</v>
      </c>
      <c r="F12" s="6">
        <f>D12/D30</f>
        <v/>
      </c>
    </row>
    <row r="13">
      <c r="A13" s="6" t="inlineStr">
        <is>
          <t>FORMENTERA 14, JUANMA</t>
        </is>
      </c>
      <c r="B13" s="6" t="n">
        <v>643</v>
      </c>
      <c r="C13" s="4" t="n">
        <v>20</v>
      </c>
      <c r="D13" s="4">
        <f>B13*C13</f>
        <v/>
      </c>
      <c r="E13" s="6" t="n">
        <v>2026</v>
      </c>
      <c r="F13" s="6">
        <f>D13/D30</f>
        <v/>
      </c>
    </row>
    <row r="14">
      <c r="A14" s="6" t="inlineStr">
        <is>
          <t>BARINAS</t>
        </is>
      </c>
      <c r="B14" s="6" t="n">
        <v>537</v>
      </c>
      <c r="C14" s="4" t="n">
        <v>20</v>
      </c>
      <c r="D14" s="4">
        <f>B14*C14</f>
        <v/>
      </c>
      <c r="E14" s="6" t="n">
        <v>2026</v>
      </c>
      <c r="F14" s="6">
        <f>D14/D30</f>
        <v/>
      </c>
    </row>
    <row r="15">
      <c r="A15" s="6" t="inlineStr">
        <is>
          <t>CEMENTERIO, MURCIA</t>
        </is>
      </c>
      <c r="B15" s="6" t="n">
        <v>440</v>
      </c>
      <c r="C15" s="4" t="n">
        <v>20</v>
      </c>
      <c r="D15" s="4">
        <f>B15*C15</f>
        <v/>
      </c>
      <c r="E15" s="6" t="n">
        <v>2026</v>
      </c>
      <c r="F15" s="6">
        <f>D15/D30</f>
        <v/>
      </c>
    </row>
    <row r="16">
      <c r="A16" s="6" t="inlineStr">
        <is>
          <t>SANTA ROSA</t>
        </is>
      </c>
      <c r="B16" s="6" t="n">
        <v>437</v>
      </c>
      <c r="C16" s="4" t="n">
        <v>20</v>
      </c>
      <c r="D16" s="4">
        <f>B16*C16</f>
        <v/>
      </c>
      <c r="E16" s="6" t="n">
        <v>2026</v>
      </c>
      <c r="F16" s="6">
        <f>D16/D30</f>
        <v/>
      </c>
    </row>
    <row r="17">
      <c r="A17" s="6" t="inlineStr">
        <is>
          <t>CASTILLO DE ELDA</t>
        </is>
      </c>
      <c r="B17" s="6" t="n">
        <v>457</v>
      </c>
      <c r="C17" s="4" t="n">
        <v>20</v>
      </c>
      <c r="D17" s="4">
        <f>B17*C17</f>
        <v/>
      </c>
      <c r="E17" s="6" t="n">
        <v>2026</v>
      </c>
      <c r="F17" s="6">
        <f>D17/D30</f>
        <v/>
      </c>
    </row>
    <row r="18">
      <c r="A18" s="6" t="inlineStr">
        <is>
          <t>PEREAMAR</t>
        </is>
      </c>
      <c r="B18" s="6" t="n">
        <v>421</v>
      </c>
      <c r="C18" s="4" t="n">
        <v>20</v>
      </c>
      <c r="D18" s="4">
        <f>B18*C18</f>
        <v/>
      </c>
      <c r="E18" s="6" t="n">
        <v>2026</v>
      </c>
      <c r="F18" s="6">
        <f>D18/D30</f>
        <v/>
      </c>
    </row>
    <row r="19">
      <c r="A19" s="6" t="inlineStr">
        <is>
          <t>CBS</t>
        </is>
      </c>
      <c r="B19" s="6" t="n">
        <v>304</v>
      </c>
      <c r="C19" s="4" t="n">
        <v>20</v>
      </c>
      <c r="D19" s="4">
        <f>B19*C19</f>
        <v/>
      </c>
      <c r="E19" s="6" t="n">
        <v>2026</v>
      </c>
      <c r="F19" s="6">
        <f>D19/D30</f>
        <v/>
      </c>
    </row>
    <row r="20">
      <c r="A20" s="6" t="inlineStr">
        <is>
          <t>OBRA CARLA, PINOSO</t>
        </is>
      </c>
      <c r="B20" s="6" t="n">
        <v>221</v>
      </c>
      <c r="C20" s="4" t="n">
        <v>20</v>
      </c>
      <c r="D20" s="4">
        <f>B20*C20</f>
        <v/>
      </c>
      <c r="E20" s="6" t="n">
        <v>2026</v>
      </c>
      <c r="F20" s="6">
        <f>D20/D30</f>
        <v/>
      </c>
    </row>
    <row r="21">
      <c r="A21" s="6" t="inlineStr">
        <is>
          <t>GARAJE MURCIA</t>
        </is>
      </c>
      <c r="B21" s="6" t="n">
        <v>132</v>
      </c>
      <c r="C21" s="4" t="n">
        <v>20</v>
      </c>
      <c r="D21" s="4">
        <f>B21*C21</f>
        <v/>
      </c>
      <c r="E21" s="6" t="n">
        <v>2026</v>
      </c>
      <c r="F21" s="6">
        <f>D21/D30</f>
        <v/>
      </c>
    </row>
    <row r="22">
      <c r="A22" s="6" t="inlineStr">
        <is>
          <t>PISO IBI</t>
        </is>
      </c>
      <c r="B22" s="6" t="n">
        <v>117</v>
      </c>
      <c r="C22" s="4" t="n">
        <v>20</v>
      </c>
      <c r="D22" s="4">
        <f>B22*C22</f>
        <v/>
      </c>
      <c r="E22" s="6" t="n">
        <v>2026</v>
      </c>
      <c r="F22" s="6">
        <f>D22/D30</f>
        <v/>
      </c>
    </row>
    <row r="23">
      <c r="A23" s="6" t="inlineStr">
        <is>
          <t>OBRA PADRE TRINI</t>
        </is>
      </c>
      <c r="B23" s="6" t="n">
        <v>52</v>
      </c>
      <c r="C23" s="4" t="n">
        <v>20</v>
      </c>
      <c r="D23" s="4">
        <f>B23*C23</f>
        <v/>
      </c>
      <c r="E23" s="6" t="n">
        <v>2026</v>
      </c>
      <c r="F23" s="6">
        <f>D23/D30</f>
        <v/>
      </c>
    </row>
    <row r="24">
      <c r="A24" s="6" t="inlineStr">
        <is>
          <t>ALBERTO Y EVA</t>
        </is>
      </c>
      <c r="B24" s="6" t="n">
        <v>28</v>
      </c>
      <c r="C24" s="4" t="n">
        <v>20</v>
      </c>
      <c r="D24" s="4">
        <f>B24*C24</f>
        <v/>
      </c>
      <c r="E24" s="6" t="n">
        <v>2026</v>
      </c>
      <c r="F24" s="6">
        <f>D24/D30</f>
        <v/>
      </c>
    </row>
    <row r="25">
      <c r="A25" s="6" t="inlineStr">
        <is>
          <t>OBRA C/HUERTO CAPUCHINOS, MURCIA</t>
        </is>
      </c>
      <c r="B25" s="6" t="n">
        <v>24</v>
      </c>
      <c r="C25" s="4" t="n">
        <v>20</v>
      </c>
      <c r="D25" s="4">
        <f>B25*C25</f>
        <v/>
      </c>
      <c r="E25" s="6" t="n">
        <v>2026</v>
      </c>
      <c r="F25" s="6">
        <f>D25/D30</f>
        <v/>
      </c>
    </row>
    <row r="26">
      <c r="A26" s="6" t="inlineStr">
        <is>
          <t>FORMENTERA 14, JUANMA</t>
        </is>
      </c>
      <c r="B26" s="6" t="n">
        <v>3960</v>
      </c>
      <c r="C26" s="4" t="n">
        <v>20</v>
      </c>
      <c r="D26" s="4">
        <f>B26*C26</f>
        <v/>
      </c>
      <c r="E26" s="6" t="n">
        <v>2025</v>
      </c>
      <c r="F26" s="6">
        <f>D26/D30</f>
        <v/>
      </c>
    </row>
    <row r="27">
      <c r="A27" s="6" t="inlineStr">
        <is>
          <t>FORMENTERA 12, JOAQUIN</t>
        </is>
      </c>
      <c r="B27" s="6" t="n">
        <v>262</v>
      </c>
      <c r="C27" s="4" t="n">
        <v>20</v>
      </c>
      <c r="D27" s="4">
        <f>B27*C27</f>
        <v/>
      </c>
      <c r="E27" s="6" t="n">
        <v>2025</v>
      </c>
      <c r="F27" s="6">
        <f>D27/D30</f>
        <v/>
      </c>
    </row>
    <row r="28">
      <c r="A28" s="6" t="inlineStr">
        <is>
          <t>LA ALBERCA</t>
        </is>
      </c>
      <c r="B28" s="6" t="n">
        <v>273</v>
      </c>
      <c r="C28" s="4" t="n">
        <v>20</v>
      </c>
      <c r="D28" s="4">
        <f>B28*C28</f>
        <v/>
      </c>
      <c r="E28" s="6" t="n">
        <v>2025</v>
      </c>
      <c r="F28" s="6">
        <f>D28/D30</f>
        <v/>
      </c>
    </row>
    <row r="29">
      <c r="A29" s="6" t="inlineStr">
        <is>
          <t>BARINAS</t>
        </is>
      </c>
      <c r="B29" s="6" t="n">
        <v>138</v>
      </c>
      <c r="C29" s="4" t="n">
        <v>20</v>
      </c>
      <c r="D29" s="4">
        <f>B29*C29</f>
        <v/>
      </c>
      <c r="E29" s="6" t="n">
        <v>2025</v>
      </c>
      <c r="F29" s="6">
        <f>D29/D30</f>
        <v/>
      </c>
    </row>
    <row r="30">
      <c r="A30" s="7" t="inlineStr">
        <is>
          <t>TOTAL MANO DE OBRA</t>
        </is>
      </c>
      <c r="B30" s="7">
        <f>SUM(B5:B29)</f>
        <v/>
      </c>
      <c r="C30" s="8" t="n"/>
      <c r="D30" s="8">
        <f>SUM(D5:D29)</f>
        <v/>
      </c>
      <c r="E30" s="7" t="n"/>
      <c r="F30" s="7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</cols>
  <sheetData>
    <row r="1">
      <c r="A1" s="1" t="inlineStr">
        <is>
          <t>GASTOS DIRECTOS POR PROYECTO (del CSV de Holded)</t>
        </is>
      </c>
    </row>
    <row r="3">
      <c r="A3" s="5" t="inlineStr">
        <is>
          <t>Proyecto</t>
        </is>
      </c>
      <c r="B3" s="5" t="inlineStr">
        <is>
          <t>Importe (EUR)</t>
        </is>
      </c>
      <c r="C3" s="5" t="inlineStr">
        <is>
          <t>Observaciones</t>
        </is>
      </c>
    </row>
    <row r="4">
      <c r="A4" s="6" t="inlineStr">
        <is>
          <t>OBRA C/FORMENTERA, 12 (JOAQUIN)</t>
        </is>
      </c>
      <c r="B4" s="4" t="n">
        <v>292782.49</v>
      </c>
      <c r="C4" s="6" t="n"/>
    </row>
    <row r="5">
      <c r="A5" s="6" t="inlineStr">
        <is>
          <t>OBRA C/FORMENTERA,14 ASPE (JUANMA)</t>
        </is>
      </c>
      <c r="B5" s="4" t="n">
        <v>276315.5100000001</v>
      </c>
      <c r="C5" s="6" t="n"/>
    </row>
    <row r="6">
      <c r="A6" s="6" t="inlineStr">
        <is>
          <t>OBRA C/IBIZA, ASPE (CASA CABO)</t>
        </is>
      </c>
      <c r="B6" s="4" t="n">
        <v>229026.91</v>
      </c>
      <c r="C6" s="6" t="n"/>
    </row>
    <row r="7">
      <c r="A7" s="6" t="inlineStr">
        <is>
          <t>OBRA PLAZA CIRCULAR,  MURCIA</t>
        </is>
      </c>
      <c r="B7" s="4" t="n">
        <v>188365.45</v>
      </c>
      <c r="C7" s="6" t="n"/>
    </row>
    <row r="8">
      <c r="A8" s="6" t="inlineStr">
        <is>
          <t>LA ALBERCA (ADMINISTRACION)</t>
        </is>
      </c>
      <c r="B8" s="4" t="n">
        <v>56081.98</v>
      </c>
      <c r="C8" s="6" t="n"/>
    </row>
    <row r="9">
      <c r="A9" s="6" t="inlineStr">
        <is>
          <t>OBRA LUC2 (ADMINISTRACION)</t>
        </is>
      </c>
      <c r="B9" s="4" t="n">
        <v>45321.16000000001</v>
      </c>
      <c r="C9" s="6" t="n"/>
    </row>
    <row r="10">
      <c r="A10" s="6" t="inlineStr">
        <is>
          <t>OBRA C/HUERTO CAPUCHINOS, MURCIA (COLEGIO MAYOR)</t>
        </is>
      </c>
      <c r="B10" s="4" t="n">
        <v>27881.98</v>
      </c>
      <c r="C10" s="6" t="n"/>
    </row>
    <row r="11">
      <c r="A11" s="6" t="inlineStr">
        <is>
          <t>OBRA CEMENTERIO - PANTEON, MURCIA</t>
        </is>
      </c>
      <c r="B11" s="4" t="n">
        <v>23323.25</v>
      </c>
      <c r="C11" s="6" t="n"/>
    </row>
    <row r="12">
      <c r="A12" s="6" t="inlineStr">
        <is>
          <t>PRESUPUESTO OBRA BARINAS - JUANPE Y TRINI (ADMINISTRACION)</t>
        </is>
      </c>
      <c r="B12" s="4" t="n">
        <v>18937.35</v>
      </c>
      <c r="C12" s="6" t="n"/>
    </row>
    <row r="13">
      <c r="A13" s="6" t="inlineStr">
        <is>
          <t>OBRA MURO VECINO CAMPO</t>
        </is>
      </c>
      <c r="B13" s="4" t="n">
        <v>17027.34</v>
      </c>
      <c r="C13" s="6" t="n"/>
    </row>
    <row r="14">
      <c r="A14" s="6" t="inlineStr">
        <is>
          <t>OBRA LA PARTE DIFICIL - EDIFICIO ALICANTE - C/MAESTRO BARBIERI</t>
        </is>
      </c>
      <c r="B14" s="4" t="n">
        <v>12724.51</v>
      </c>
      <c r="C14" s="6" t="n"/>
    </row>
    <row r="15">
      <c r="A15" s="6" t="inlineStr">
        <is>
          <t>OBRAS MEJORA DEL VALLADO Y ENTORNO Y CENTRO DE RECEPCION DE VISITANTES DEL CASTILLO DE ELDA</t>
        </is>
      </c>
      <c r="B15" s="4" t="n">
        <v>11762.42</v>
      </c>
      <c r="C15" s="6" t="n"/>
    </row>
    <row r="16">
      <c r="A16" s="6" t="inlineStr">
        <is>
          <t>OBRA C/SANTA ROSA, MURCIA</t>
        </is>
      </c>
      <c r="B16" s="4" t="n">
        <v>10149.75</v>
      </c>
      <c r="C16" s="6" t="n"/>
    </row>
    <row r="17">
      <c r="A17" s="6" t="inlineStr">
        <is>
          <t>OBRA C/ÁNGEL, MURCIA (SEÑORIO DEL CARMEN)</t>
        </is>
      </c>
      <c r="B17" s="4" t="n">
        <v>7608.860000000001</v>
      </c>
      <c r="C17" s="6" t="n"/>
    </row>
    <row r="18">
      <c r="A18" s="6" t="inlineStr">
        <is>
          <t>OBRA CARLA, CAMINO DEL PRADO, PINOSO</t>
        </is>
      </c>
      <c r="B18" s="4" t="n">
        <v>5251.8</v>
      </c>
      <c r="C18" s="6" t="n"/>
    </row>
    <row r="19">
      <c r="A19" s="6" t="inlineStr">
        <is>
          <t>ARREGLOS OBRAS ARAQUE Y MAQUEDA</t>
        </is>
      </c>
      <c r="B19" s="4" t="n">
        <v>4984.82</v>
      </c>
      <c r="C19" s="6" t="n"/>
    </row>
    <row r="20">
      <c r="A20" s="6" t="inlineStr">
        <is>
          <t>OBRA C/CUARTEL DE ARTILLERIA, MURCIA (LA PARTE DIFICIL)</t>
        </is>
      </c>
      <c r="B20" s="4" t="n">
        <v>4370.93</v>
      </c>
      <c r="C20" s="6" t="n"/>
    </row>
    <row r="21">
      <c r="A21" s="6" t="inlineStr">
        <is>
          <t>OBRA MURO CAMPO ARANTXA</t>
        </is>
      </c>
      <c r="B21" s="4" t="n">
        <v>4230.33</v>
      </c>
      <c r="C21" s="6" t="n"/>
    </row>
    <row r="22">
      <c r="A22" s="6" t="inlineStr">
        <is>
          <t>26002 - PRESUPUESTO OBRA GARAJE, MURCIA (LA PARTE DIFICIL)</t>
        </is>
      </c>
      <c r="B22" s="4" t="n">
        <v>3350.48</v>
      </c>
      <c r="C22" s="6" t="n"/>
    </row>
    <row r="23">
      <c r="A23" s="6" t="inlineStr">
        <is>
          <t>REFORMA INTERIOR 2 VIVIENDAS EN PISO - C/ CARTAGENA , 59 - MURCIA</t>
        </is>
      </c>
      <c r="B23" s="4" t="n">
        <v>2781.35</v>
      </c>
      <c r="C23" s="6" t="n"/>
    </row>
    <row r="24">
      <c r="A24" s="6" t="inlineStr">
        <is>
          <t>OBRA MADRE MARIA PEREAMAR</t>
        </is>
      </c>
      <c r="B24" s="4" t="n">
        <v>1953.61</v>
      </c>
      <c r="C24" s="6" t="n"/>
    </row>
    <row r="25">
      <c r="A25" s="6" t="inlineStr">
        <is>
          <t>CARLOS Y ROCIO ESPINOSA</t>
        </is>
      </c>
      <c r="B25" s="4" t="n">
        <v>600</v>
      </c>
      <c r="C25" s="6" t="n"/>
    </row>
    <row r="26">
      <c r="A26" s="6" t="inlineStr">
        <is>
          <t>PROYECTO 4 BASCULAS EN SILOS - Paraje de los Rincones S,N - Poligono 3, parcelas 94 y 113 - Algueña (Alicante)</t>
        </is>
      </c>
      <c r="B26" s="4" t="n">
        <v>420</v>
      </c>
      <c r="C26" s="6" t="n"/>
    </row>
    <row r="27">
      <c r="A27" s="6" t="inlineStr">
        <is>
          <t>OBRA PADRE TRINI</t>
        </is>
      </c>
      <c r="B27" s="4" t="n">
        <v>298.32</v>
      </c>
      <c r="C27" s="6" t="n"/>
    </row>
    <row r="28">
      <c r="A28" s="7" t="inlineStr">
        <is>
          <t>TOTAL GASTOS DIRECTOS</t>
        </is>
      </c>
      <c r="B28" s="8">
        <f>SUM(B4:B27)</f>
        <v/>
      </c>
      <c r="C28" s="7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05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35" customWidth="1" min="4" max="4"/>
    <col width="30" customWidth="1" min="5" max="5"/>
    <col width="14" customWidth="1" min="6" max="6"/>
    <col width="18" customWidth="1" min="7" max="7"/>
  </cols>
  <sheetData>
    <row r="1">
      <c r="A1" s="1" t="inlineStr">
        <is>
          <t>FACTURAS POR OBRA - Todas las facturas directas (1052 facturas)</t>
        </is>
      </c>
    </row>
    <row r="2">
      <c r="A2" s="9" t="inlineStr">
        <is>
          <t>Usa los filtros desplegables en la fila 3 para buscar por proyecto, proveedor, etc.</t>
        </is>
      </c>
    </row>
    <row r="3">
      <c r="A3" s="5" t="inlineStr">
        <is>
          <t>Proyecto</t>
        </is>
      </c>
      <c r="B3" s="5" t="inlineStr">
        <is>
          <t>Codigo</t>
        </is>
      </c>
      <c r="C3" s="5" t="inlineStr">
        <is>
          <t>Fecha</t>
        </is>
      </c>
      <c r="D3" s="5" t="inlineStr">
        <is>
          <t>Titulo/Concepto</t>
        </is>
      </c>
      <c r="E3" s="5" t="inlineStr">
        <is>
          <t>Proveedor</t>
        </is>
      </c>
      <c r="F3" s="5" t="inlineStr">
        <is>
          <t>Estado</t>
        </is>
      </c>
      <c r="G3" s="5" t="inlineStr">
        <is>
          <t>Importe (EUR)</t>
        </is>
      </c>
    </row>
    <row r="4">
      <c r="A4" s="6" t="inlineStr">
        <is>
          <t>26002 - PRESUPUESTO OBRA GARAJE, MURCIA (LA PARTE DIFICIL)</t>
        </is>
      </c>
      <c r="B4" s="6" t="inlineStr">
        <is>
          <t>1.173,00</t>
        </is>
      </c>
      <c r="C4" s="6" t="inlineStr">
        <is>
          <t>20/03/2026</t>
        </is>
      </c>
      <c r="D4" s="6" t="inlineStr">
        <is>
          <t>INTALACIÓN COMPLETA DE ELECTRICIDAD EN GARAJE</t>
        </is>
      </c>
      <c r="E4" s="6" t="inlineStr">
        <is>
          <t>MOVE2GO SL.</t>
        </is>
      </c>
      <c r="F4" s="6" t="inlineStr">
        <is>
          <t>IMPUTADO</t>
        </is>
      </c>
      <c r="G4" s="4" t="n">
        <v>1087.5</v>
      </c>
    </row>
    <row r="5">
      <c r="A5" s="6" t="inlineStr">
        <is>
          <t>26002 - PRESUPUESTO OBRA GARAJE, MURCIA (LA PARTE DIFICIL)</t>
        </is>
      </c>
      <c r="B5" s="6" t="inlineStr">
        <is>
          <t>851,00</t>
        </is>
      </c>
      <c r="C5" s="6" t="inlineStr">
        <is>
          <t>23/02/2026</t>
        </is>
      </c>
      <c r="D5" s="6" t="inlineStr">
        <is>
          <t>INTALACIÓN COMPLETA DE ELECTRICIDAD EN GARAJE</t>
        </is>
      </c>
      <c r="E5" s="6" t="inlineStr">
        <is>
          <t>MOVE2GO SL.</t>
        </is>
      </c>
      <c r="F5" s="6" t="inlineStr">
        <is>
          <t>IMPUTADO</t>
        </is>
      </c>
      <c r="G5" s="4" t="n">
        <v>1087.5</v>
      </c>
    </row>
    <row r="6">
      <c r="A6" s="6" t="inlineStr">
        <is>
          <t>26002 - PRESUPUESTO OBRA GARAJE, MURCIA (LA PARTE DIFICIL)</t>
        </is>
      </c>
      <c r="B6" s="6" t="inlineStr">
        <is>
          <t>874,00</t>
        </is>
      </c>
      <c r="C6" s="6" t="inlineStr">
        <is>
          <t>02/03/2026</t>
        </is>
      </c>
      <c r="D6" s="6" t="inlineStr">
        <is>
          <t>LEROY MERLIN (PRESUPUESTO 603119) FOTO EN DOCUMENTOS</t>
        </is>
      </c>
      <c r="E6" s="6" t="inlineStr">
        <is>
          <t>LEROY MERLIN ESPAÑA SL</t>
        </is>
      </c>
      <c r="F6" s="6" t="inlineStr">
        <is>
          <t>IMPUTADO</t>
        </is>
      </c>
      <c r="G6" s="4" t="n">
        <v>469.96</v>
      </c>
    </row>
    <row r="7">
      <c r="A7" s="6" t="inlineStr">
        <is>
          <t>26002 - PRESUPUESTO OBRA GARAJE, MURCIA (LA PARTE DIFICIL)</t>
        </is>
      </c>
      <c r="B7" s="6" t="inlineStr">
        <is>
          <t>853,00</t>
        </is>
      </c>
      <c r="C7" s="6" t="inlineStr">
        <is>
          <t>23/02/2026</t>
        </is>
      </c>
      <c r="D7" s="6" t="inlineStr">
        <is>
          <t>LEROY MERLIN (PRESUPUESTO 602161) FOTO EN DOCUMENTOS</t>
        </is>
      </c>
      <c r="E7" s="6" t="inlineStr">
        <is>
          <t>LEROY MERLIN ESPAÑA SL</t>
        </is>
      </c>
      <c r="F7" s="6" t="inlineStr">
        <is>
          <t>IMPUTADO</t>
        </is>
      </c>
      <c r="G7" s="4" t="n">
        <v>352.76</v>
      </c>
    </row>
    <row r="8">
      <c r="A8" s="6" t="inlineStr">
        <is>
          <t>26002 - PRESUPUESTO OBRA GARAJE, MURCIA (LA PARTE DIFICIL)</t>
        </is>
      </c>
      <c r="B8" s="6" t="inlineStr">
        <is>
          <t>852,00</t>
        </is>
      </c>
      <c r="C8" s="6" t="inlineStr">
        <is>
          <t>23/02/2026</t>
        </is>
      </c>
      <c r="D8" s="6" t="inlineStr">
        <is>
          <t>LEROY MERLIN (DUPLICADO PRESUPUESTO 601689) FOTO EN DOCUMENTOS</t>
        </is>
      </c>
      <c r="E8" s="6" t="inlineStr">
        <is>
          <t>LEROY MERLIN ESPAÑA SL</t>
        </is>
      </c>
      <c r="F8" s="6" t="inlineStr">
        <is>
          <t>IMPUTADO</t>
        </is>
      </c>
      <c r="G8" s="4" t="n">
        <v>352.76</v>
      </c>
    </row>
    <row r="9">
      <c r="A9" s="6" t="inlineStr">
        <is>
          <t>ARREGLOS OBRAS ARAQUE Y MAQUEDA</t>
        </is>
      </c>
      <c r="B9" s="6" t="inlineStr">
        <is>
          <t>820,00</t>
        </is>
      </c>
      <c r="C9" s="6" t="inlineStr">
        <is>
          <t>19/02/2026</t>
        </is>
      </c>
      <c r="D9" s="6" t="inlineStr">
        <is>
          <t>ARREGLO ALMORADÍ</t>
        </is>
      </c>
      <c r="E9" s="6" t="inlineStr">
        <is>
          <t>GOCLIMA FRIO Y CALOR SL</t>
        </is>
      </c>
      <c r="F9" s="6" t="inlineStr">
        <is>
          <t>IMPUTADO</t>
        </is>
      </c>
      <c r="G9" s="4" t="n">
        <v>2150</v>
      </c>
    </row>
    <row r="10">
      <c r="A10" s="6" t="inlineStr">
        <is>
          <t>ARREGLOS OBRAS ARAQUE Y MAQUEDA</t>
        </is>
      </c>
      <c r="B10" s="6" t="inlineStr">
        <is>
          <t>819,00</t>
        </is>
      </c>
      <c r="C10" s="6" t="inlineStr">
        <is>
          <t>19/02/2026</t>
        </is>
      </c>
      <c r="D10" s="6" t="inlineStr">
        <is>
          <t>REPARACIÓN ALMORADÍ</t>
        </is>
      </c>
      <c r="E10" s="6" t="inlineStr"/>
      <c r="F10" s="6" t="inlineStr">
        <is>
          <t>IMPUTADO</t>
        </is>
      </c>
      <c r="G10" s="4" t="n">
        <v>680</v>
      </c>
    </row>
    <row r="11">
      <c r="A11" s="6" t="inlineStr">
        <is>
          <t>ARREGLOS OBRAS ARAQUE Y MAQUEDA</t>
        </is>
      </c>
      <c r="B11" s="6" t="inlineStr">
        <is>
          <t>1.409,00</t>
        </is>
      </c>
      <c r="C11" s="6" t="inlineStr"/>
      <c r="D11" s="6" t="inlineStr">
        <is>
          <t>NAYA ARQUITECTURA</t>
        </is>
      </c>
      <c r="E11" s="6" t="inlineStr">
        <is>
          <t>NAYA ARQUITECTURA Y DISEÑO GRAFICO SLP.</t>
        </is>
      </c>
      <c r="F11" s="6" t="inlineStr">
        <is>
          <t>SIN IMPUTAR</t>
        </is>
      </c>
      <c r="G11" s="4" t="n">
        <v>600</v>
      </c>
    </row>
    <row r="12">
      <c r="A12" s="6" t="inlineStr">
        <is>
          <t>ARREGLOS OBRAS ARAQUE Y MAQUEDA</t>
        </is>
      </c>
      <c r="B12" s="6" t="inlineStr">
        <is>
          <t>1.408,00</t>
        </is>
      </c>
      <c r="C12" s="6" t="inlineStr"/>
      <c r="D12" s="6" t="inlineStr">
        <is>
          <t>PANEL CUBIERTA</t>
        </is>
      </c>
      <c r="E12" s="6" t="inlineStr">
        <is>
          <t>PANELES Y SISTEMAS DEL MEDITERRANEO SL.</t>
        </is>
      </c>
      <c r="F12" s="6" t="inlineStr">
        <is>
          <t>SIN IMPUTAR</t>
        </is>
      </c>
      <c r="G12" s="4" t="n">
        <v>464</v>
      </c>
    </row>
    <row r="13">
      <c r="A13" s="6" t="inlineStr">
        <is>
          <t>ARREGLOS OBRAS ARAQUE Y MAQUEDA</t>
        </is>
      </c>
      <c r="B13" s="6" t="inlineStr">
        <is>
          <t>1.443,00</t>
        </is>
      </c>
      <c r="C13" s="6" t="inlineStr">
        <is>
          <t>05/05/2026</t>
        </is>
      </c>
      <c r="D13" s="6" t="inlineStr">
        <is>
          <t>TOALLERO ELECTRICO</t>
        </is>
      </c>
      <c r="E13" s="6" t="inlineStr">
        <is>
          <t>SALTOKI ALICANTE SL.</t>
        </is>
      </c>
      <c r="F13" s="6" t="inlineStr">
        <is>
          <t>IMPUTADO</t>
        </is>
      </c>
      <c r="G13" s="4" t="n">
        <v>323.05</v>
      </c>
    </row>
    <row r="14">
      <c r="A14" s="6" t="inlineStr">
        <is>
          <t>ARREGLOS OBRAS ARAQUE Y MAQUEDA</t>
        </is>
      </c>
      <c r="B14" s="6" t="inlineStr">
        <is>
          <t>821,00</t>
        </is>
      </c>
      <c r="C14" s="6" t="inlineStr">
        <is>
          <t>19/02/2026</t>
        </is>
      </c>
      <c r="D14" s="6" t="inlineStr">
        <is>
          <t>ARREGLO ALMORADÍ</t>
        </is>
      </c>
      <c r="E14" s="6" t="inlineStr">
        <is>
          <t>GOCLIMA FRIO Y CALOR SL</t>
        </is>
      </c>
      <c r="F14" s="6" t="inlineStr">
        <is>
          <t>IMPUTADO</t>
        </is>
      </c>
      <c r="G14" s="4" t="n">
        <v>299</v>
      </c>
    </row>
    <row r="15">
      <c r="A15" s="6" t="inlineStr">
        <is>
          <t>ARREGLOS OBRAS ARAQUE Y MAQUEDA</t>
        </is>
      </c>
      <c r="B15" s="6" t="inlineStr">
        <is>
          <t>1.418,00</t>
        </is>
      </c>
      <c r="C15" s="6" t="inlineStr"/>
      <c r="D15" s="6" t="inlineStr">
        <is>
          <t>TRABAJOS REALIZADOS</t>
        </is>
      </c>
      <c r="E15" s="6" t="inlineStr"/>
      <c r="F15" s="6" t="inlineStr">
        <is>
          <t>SIN IMPUTAR</t>
        </is>
      </c>
      <c r="G15" s="4" t="n">
        <v>250</v>
      </c>
    </row>
    <row r="16">
      <c r="A16" s="6" t="inlineStr">
        <is>
          <t>ARREGLOS OBRAS ARAQUE Y MAQUEDA</t>
        </is>
      </c>
      <c r="B16" s="6" t="inlineStr">
        <is>
          <t>1.445,00</t>
        </is>
      </c>
      <c r="C16" s="6" t="inlineStr">
        <is>
          <t>05/05/2026</t>
        </is>
      </c>
      <c r="D16" s="6" t="inlineStr">
        <is>
          <t>CRISTALES</t>
        </is>
      </c>
      <c r="E16" s="6" t="inlineStr">
        <is>
          <t>ALEJANDRO CUTILLAS CAÑABATE</t>
        </is>
      </c>
      <c r="F16" s="6" t="inlineStr">
        <is>
          <t>IMPUTADO</t>
        </is>
      </c>
      <c r="G16" s="4" t="n">
        <v>186</v>
      </c>
    </row>
    <row r="17">
      <c r="A17" s="6" t="inlineStr">
        <is>
          <t>ARREGLOS OBRAS ARAQUE Y MAQUEDA</t>
        </is>
      </c>
      <c r="B17" s="6" t="inlineStr">
        <is>
          <t>1.469,00</t>
        </is>
      </c>
      <c r="C17" s="6" t="inlineStr">
        <is>
          <t>05/05/2026</t>
        </is>
      </c>
      <c r="D17" s="6" t="inlineStr">
        <is>
          <t>MATERIALES VARIOS</t>
        </is>
      </c>
      <c r="E17" s="6" t="inlineStr">
        <is>
          <t>SALTOKI ALICANTE SL.</t>
        </is>
      </c>
      <c r="F17" s="6" t="inlineStr">
        <is>
          <t>IMPUTADO</t>
        </is>
      </c>
      <c r="G17" s="4" t="n">
        <v>31.08</v>
      </c>
    </row>
    <row r="18">
      <c r="A18" s="6" t="inlineStr">
        <is>
          <t>ARREGLOS OBRAS ARAQUE Y MAQUEDA</t>
        </is>
      </c>
      <c r="B18" s="6" t="inlineStr">
        <is>
          <t>1.474,00</t>
        </is>
      </c>
      <c r="C18" s="6" t="inlineStr">
        <is>
          <t>05/05/2026</t>
        </is>
      </c>
      <c r="D18" s="6" t="inlineStr">
        <is>
          <t>MATERIAL VARIO</t>
        </is>
      </c>
      <c r="E18" s="6" t="inlineStr">
        <is>
          <t>FERRETERIA E INSTALACIONES AMOROS SL.</t>
        </is>
      </c>
      <c r="F18" s="6" t="inlineStr">
        <is>
          <t>IMPUTADO</t>
        </is>
      </c>
      <c r="G18" s="4" t="n">
        <v>1.69</v>
      </c>
    </row>
    <row r="19">
      <c r="A19" s="6" t="inlineStr">
        <is>
          <t>CARLOS Y ROCIO ESPINOSA</t>
        </is>
      </c>
      <c r="B19" s="6" t="inlineStr">
        <is>
          <t>114,00</t>
        </is>
      </c>
      <c r="C19" s="6" t="inlineStr"/>
      <c r="D19" s="6" t="inlineStr">
        <is>
          <t>NAYA</t>
        </is>
      </c>
      <c r="E19" s="6" t="inlineStr"/>
      <c r="F19" s="6" t="inlineStr">
        <is>
          <t>SIN IMPUTAR</t>
        </is>
      </c>
      <c r="G19" s="4" t="n">
        <v>600</v>
      </c>
    </row>
    <row r="20">
      <c r="A20" s="6" t="inlineStr">
        <is>
          <t>LA ALBERCA (ADMINISTRACION)</t>
        </is>
      </c>
      <c r="B20" s="6" t="inlineStr">
        <is>
          <t>1.702,00</t>
        </is>
      </c>
      <c r="C20" s="6" t="inlineStr">
        <is>
          <t>16/06/2026</t>
        </is>
      </c>
      <c r="D20" s="6" t="inlineStr">
        <is>
          <t>ELECTRICIDAD</t>
        </is>
      </c>
      <c r="E20" s="6" t="inlineStr"/>
      <c r="F20" s="6" t="inlineStr">
        <is>
          <t>IMPUTADO</t>
        </is>
      </c>
      <c r="G20" s="4" t="n">
        <v>3444.02</v>
      </c>
    </row>
    <row r="21">
      <c r="A21" s="6" t="inlineStr">
        <is>
          <t>LA ALBERCA (ADMINISTRACION)</t>
        </is>
      </c>
      <c r="B21" s="6" t="inlineStr">
        <is>
          <t>1.658,00</t>
        </is>
      </c>
      <c r="C21" s="6" t="inlineStr">
        <is>
          <t>04/06/2026</t>
        </is>
      </c>
      <c r="D21" s="6" t="inlineStr">
        <is>
          <t>MATERIAL OBRA</t>
        </is>
      </c>
      <c r="E21" s="6" t="inlineStr">
        <is>
          <t>MATERIALES DE CONSTRUCCION EL CARACOLES SL</t>
        </is>
      </c>
      <c r="F21" s="6" t="inlineStr">
        <is>
          <t>IMPUTADO</t>
        </is>
      </c>
      <c r="G21" s="4" t="n">
        <v>3279.39</v>
      </c>
    </row>
    <row r="22">
      <c r="A22" s="6" t="inlineStr">
        <is>
          <t>LA ALBERCA (ADMINISTRACION)</t>
        </is>
      </c>
      <c r="B22" s="6" t="inlineStr">
        <is>
          <t>1.174,00</t>
        </is>
      </c>
      <c r="C22" s="6" t="inlineStr">
        <is>
          <t>20/03/2026</t>
        </is>
      </c>
      <c r="D22" s="6" t="inlineStr">
        <is>
          <t>PALA EXCAVADORA</t>
        </is>
      </c>
      <c r="E22" s="6" t="inlineStr">
        <is>
          <t>FRANCISO JAVIER SERNA GALVEZ</t>
        </is>
      </c>
      <c r="F22" s="6" t="inlineStr">
        <is>
          <t>IMPUTADO</t>
        </is>
      </c>
      <c r="G22" s="4" t="n">
        <v>3250</v>
      </c>
    </row>
    <row r="23">
      <c r="A23" s="6" t="inlineStr">
        <is>
          <t>LA ALBERCA (ADMINISTRACION)</t>
        </is>
      </c>
      <c r="B23" s="6" t="inlineStr">
        <is>
          <t>536,00</t>
        </is>
      </c>
      <c r="C23" s="6" t="inlineStr">
        <is>
          <t>20/02/2026</t>
        </is>
      </c>
      <c r="D23" s="6" t="inlineStr">
        <is>
          <t>PORTES LA ALBERCA</t>
        </is>
      </c>
      <c r="E23" s="6" t="inlineStr">
        <is>
          <t>FRANCISO JAVIER SERNA GALVEZ</t>
        </is>
      </c>
      <c r="F23" s="6" t="inlineStr">
        <is>
          <t>IMPUTADO</t>
        </is>
      </c>
      <c r="G23" s="4" t="n">
        <v>2980</v>
      </c>
    </row>
    <row r="24">
      <c r="A24" s="6" t="inlineStr">
        <is>
          <t>LA ALBERCA (ADMINISTRACION)</t>
        </is>
      </c>
      <c r="B24" s="6" t="inlineStr">
        <is>
          <t>1.251,00</t>
        </is>
      </c>
      <c r="C24" s="6" t="inlineStr">
        <is>
          <t>15/04/2026</t>
        </is>
      </c>
      <c r="D24" s="6" t="inlineStr">
        <is>
          <t>LLENADO LOSA #sotano</t>
        </is>
      </c>
      <c r="E24" s="6" t="inlineStr">
        <is>
          <t>GRUPO ALJEMA RELOSA SL.</t>
        </is>
      </c>
      <c r="F24" s="6" t="inlineStr">
        <is>
          <t>IMPUTADO</t>
        </is>
      </c>
      <c r="G24" s="4" t="n">
        <v>2772</v>
      </c>
    </row>
    <row r="25">
      <c r="A25" s="6" t="inlineStr">
        <is>
          <t>LA ALBERCA (ADMINISTRACION)</t>
        </is>
      </c>
      <c r="B25" s="6" t="inlineStr">
        <is>
          <t>631,00</t>
        </is>
      </c>
      <c r="C25" s="6" t="inlineStr">
        <is>
          <t>20/02/2026</t>
        </is>
      </c>
      <c r="D25" s="6" t="inlineStr">
        <is>
          <t>FERRALLA LOSA</t>
        </is>
      </c>
      <c r="E25" s="6" t="inlineStr">
        <is>
          <t>FERRALLAS MONFORTE DEL CID SL.</t>
        </is>
      </c>
      <c r="F25" s="6" t="inlineStr">
        <is>
          <t>IMPUTADO</t>
        </is>
      </c>
      <c r="G25" s="4" t="n">
        <v>2492.96</v>
      </c>
    </row>
    <row r="26">
      <c r="A26" s="6" t="inlineStr">
        <is>
          <t>LA ALBERCA (ADMINISTRACION)</t>
        </is>
      </c>
      <c r="B26" s="6" t="inlineStr">
        <is>
          <t>1.521,00</t>
        </is>
      </c>
      <c r="C26" s="6" t="inlineStr">
        <is>
          <t>05/05/2026</t>
        </is>
      </c>
      <c r="D26" s="6" t="inlineStr">
        <is>
          <t>GRESITE PISCINA Y MATERIAL</t>
        </is>
      </c>
      <c r="E26" s="6" t="inlineStr">
        <is>
          <t>MATERIALES DE CONSTRUCCION EL CARACOLES SL</t>
        </is>
      </c>
      <c r="F26" s="6" t="inlineStr">
        <is>
          <t>IMPUTADO</t>
        </is>
      </c>
      <c r="G26" s="4" t="n">
        <v>1633.85</v>
      </c>
    </row>
    <row r="27">
      <c r="A27" s="6" t="inlineStr">
        <is>
          <t>LA ALBERCA (ADMINISTRACION)</t>
        </is>
      </c>
      <c r="B27" s="6" t="inlineStr">
        <is>
          <t>1.607,00</t>
        </is>
      </c>
      <c r="C27" s="6" t="inlineStr">
        <is>
          <t>21/05/2026</t>
        </is>
      </c>
      <c r="D27" s="6" t="inlineStr">
        <is>
          <t>HORMIGON LOSA</t>
        </is>
      </c>
      <c r="E27" s="6" t="inlineStr">
        <is>
          <t>GRUPO ALJEMA RELOSA SL.</t>
        </is>
      </c>
      <c r="F27" s="6" t="inlineStr">
        <is>
          <t>IMPUTADO</t>
        </is>
      </c>
      <c r="G27" s="4" t="n">
        <v>1538.5</v>
      </c>
    </row>
    <row r="28">
      <c r="A28" s="6" t="inlineStr">
        <is>
          <t>LA ALBERCA (ADMINISTRACION)</t>
        </is>
      </c>
      <c r="B28" s="6" t="inlineStr">
        <is>
          <t>1.522,00</t>
        </is>
      </c>
      <c r="C28" s="6" t="inlineStr">
        <is>
          <t>05/05/2026</t>
        </is>
      </c>
      <c r="D28" s="6" t="inlineStr">
        <is>
          <t>PVC Y MATERIAL OBRA</t>
        </is>
      </c>
      <c r="E28" s="6" t="inlineStr">
        <is>
          <t>MATERIALES DE CONSTRUCCION EL CARACOLES SL</t>
        </is>
      </c>
      <c r="F28" s="6" t="inlineStr">
        <is>
          <t>IMPUTADO</t>
        </is>
      </c>
      <c r="G28" s="4" t="n">
        <v>1511.51</v>
      </c>
    </row>
    <row r="29">
      <c r="A29" s="6" t="inlineStr">
        <is>
          <t>LA ALBERCA (ADMINISTRACION)</t>
        </is>
      </c>
      <c r="B29" s="6" t="inlineStr">
        <is>
          <t>1.560,00</t>
        </is>
      </c>
      <c r="C29" s="6" t="inlineStr">
        <is>
          <t>11/05/2026</t>
        </is>
      </c>
      <c r="D29" s="6" t="inlineStr">
        <is>
          <t>HORMIGÓN FORJADO H25 Y BOMBA</t>
        </is>
      </c>
      <c r="E29" s="6" t="inlineStr">
        <is>
          <t>GRUPO ALJEMA RELOSA SL.</t>
        </is>
      </c>
      <c r="F29" s="6" t="inlineStr">
        <is>
          <t>IMPUTADO</t>
        </is>
      </c>
      <c r="G29" s="4" t="n">
        <v>1508.5</v>
      </c>
    </row>
    <row r="30">
      <c r="A30" s="6" t="inlineStr">
        <is>
          <t>LA ALBERCA (ADMINISTRACION)</t>
        </is>
      </c>
      <c r="B30" s="6" t="inlineStr">
        <is>
          <t>1.635,00</t>
        </is>
      </c>
      <c r="C30" s="6" t="inlineStr">
        <is>
          <t>27/05/2026</t>
        </is>
      </c>
      <c r="D30" s="6" t="inlineStr">
        <is>
          <t>FONTANERÍA</t>
        </is>
      </c>
      <c r="E30" s="6" t="inlineStr">
        <is>
          <t>FONTAFIX EAR</t>
        </is>
      </c>
      <c r="F30" s="6" t="inlineStr">
        <is>
          <t>IMPUTADO</t>
        </is>
      </c>
      <c r="G30" s="4" t="n">
        <v>1500</v>
      </c>
    </row>
    <row r="31">
      <c r="A31" s="6" t="inlineStr">
        <is>
          <t>LA ALBERCA (ADMINISTRACION)</t>
        </is>
      </c>
      <c r="B31" s="6" t="inlineStr">
        <is>
          <t>1.589,00</t>
        </is>
      </c>
      <c r="C31" s="6" t="inlineStr">
        <is>
          <t>18/05/2026</t>
        </is>
      </c>
      <c r="D31" s="6" t="inlineStr">
        <is>
          <t>PRESUPUESTO Nº 613558</t>
        </is>
      </c>
      <c r="E31" s="6" t="inlineStr">
        <is>
          <t>LEROY MERLIN ESPAÑA SL</t>
        </is>
      </c>
      <c r="F31" s="6" t="inlineStr">
        <is>
          <t>IMPUTADO</t>
        </is>
      </c>
      <c r="G31" s="4" t="n">
        <v>1476.24</v>
      </c>
    </row>
    <row r="32">
      <c r="A32" s="6" t="inlineStr">
        <is>
          <t>LA ALBERCA (ADMINISTRACION)</t>
        </is>
      </c>
      <c r="B32" s="6" t="inlineStr">
        <is>
          <t>1.632,00</t>
        </is>
      </c>
      <c r="C32" s="6" t="inlineStr">
        <is>
          <t>27/05/2026</t>
        </is>
      </c>
      <c r="D32" s="6" t="inlineStr">
        <is>
          <t>PRESUPUESTO Nº 623752</t>
        </is>
      </c>
      <c r="E32" s="6" t="inlineStr">
        <is>
          <t>LEROY MERLIN ESPAÑA SL</t>
        </is>
      </c>
      <c r="F32" s="6" t="inlineStr">
        <is>
          <t>IMPUTADO</t>
        </is>
      </c>
      <c r="G32" s="4" t="n">
        <v>1466.12</v>
      </c>
    </row>
    <row r="33">
      <c r="A33" s="6" t="inlineStr">
        <is>
          <t>LA ALBERCA (ADMINISTRACION)</t>
        </is>
      </c>
      <c r="B33" s="6" t="inlineStr">
        <is>
          <t>1.550,00</t>
        </is>
      </c>
      <c r="C33" s="6" t="inlineStr">
        <is>
          <t>07/05/2026</t>
        </is>
      </c>
      <c r="D33" s="6" t="inlineStr">
        <is>
          <t>PISCINA MURCIA</t>
        </is>
      </c>
      <c r="E33" s="6" t="inlineStr">
        <is>
          <t>FGC INSTALACIONES 2017, SOCIEDAD LIMITADA.</t>
        </is>
      </c>
      <c r="F33" s="6" t="inlineStr">
        <is>
          <t>IMPUTADO</t>
        </is>
      </c>
      <c r="G33" s="4" t="n">
        <v>1380.92</v>
      </c>
    </row>
    <row r="34">
      <c r="A34" s="6" t="inlineStr">
        <is>
          <t>LA ALBERCA (ADMINISTRACION)</t>
        </is>
      </c>
      <c r="B34" s="6" t="inlineStr">
        <is>
          <t>1.162,00</t>
        </is>
      </c>
      <c r="C34" s="6" t="inlineStr">
        <is>
          <t>17/03/2026</t>
        </is>
      </c>
      <c r="D34" s="6" t="inlineStr">
        <is>
          <t>INSTALACIONES 2017 SL</t>
        </is>
      </c>
      <c r="E34" s="6" t="inlineStr"/>
      <c r="F34" s="6" t="inlineStr">
        <is>
          <t>IMPUTADO</t>
        </is>
      </c>
      <c r="G34" s="4" t="n">
        <v>1380.92</v>
      </c>
    </row>
    <row r="35">
      <c r="A35" s="6" t="inlineStr">
        <is>
          <t>LA ALBERCA (ADMINISTRACION)</t>
        </is>
      </c>
      <c r="B35" s="6" t="inlineStr">
        <is>
          <t>1.483,00</t>
        </is>
      </c>
      <c r="C35" s="6" t="inlineStr">
        <is>
          <t>27/04/2026</t>
        </is>
      </c>
      <c r="D35" s="6" t="inlineStr">
        <is>
          <t>HIERRO #forjado sótano</t>
        </is>
      </c>
      <c r="E35" s="6" t="inlineStr">
        <is>
          <t>FERRALLAS MONFORTE DEL CID SL.</t>
        </is>
      </c>
      <c r="F35" s="6" t="inlineStr">
        <is>
          <t>IMPUTADO</t>
        </is>
      </c>
      <c r="G35" s="4" t="n">
        <v>1216</v>
      </c>
    </row>
    <row r="36">
      <c r="A36" s="6" t="inlineStr">
        <is>
          <t>LA ALBERCA (ADMINISTRACION)</t>
        </is>
      </c>
      <c r="B36" s="6" t="inlineStr">
        <is>
          <t>581,00</t>
        </is>
      </c>
      <c r="C36" s="6" t="inlineStr">
        <is>
          <t>20/02/2026</t>
        </is>
      </c>
      <c r="D36" s="6" t="inlineStr">
        <is>
          <t>GUNITA PISCINA</t>
        </is>
      </c>
      <c r="E36" s="6" t="inlineStr"/>
      <c r="F36" s="6" t="inlineStr">
        <is>
          <t>IMPUTADO</t>
        </is>
      </c>
      <c r="G36" s="4" t="n">
        <v>1196</v>
      </c>
    </row>
    <row r="37">
      <c r="A37" s="6" t="inlineStr">
        <is>
          <t>LA ALBERCA (ADMINISTRACION)</t>
        </is>
      </c>
      <c r="B37" s="6" t="inlineStr">
        <is>
          <t>1.683,00</t>
        </is>
      </c>
      <c r="C37" s="6" t="inlineStr">
        <is>
          <t>09/06/2026</t>
        </is>
      </c>
      <c r="D37" s="6" t="inlineStr">
        <is>
          <t>GRUA (TIRAR GRAVA)</t>
        </is>
      </c>
      <c r="E37" s="6" t="inlineStr">
        <is>
          <t>GRUAS Y MAQUINARIA PETREL SL</t>
        </is>
      </c>
      <c r="F37" s="6" t="inlineStr">
        <is>
          <t>IMPUTADO</t>
        </is>
      </c>
      <c r="G37" s="4" t="n">
        <v>1137.5</v>
      </c>
    </row>
    <row r="38">
      <c r="A38" s="6" t="inlineStr">
        <is>
          <t>LA ALBERCA (ADMINISTRACION)</t>
        </is>
      </c>
      <c r="B38" s="6" t="inlineStr">
        <is>
          <t>1.161,00</t>
        </is>
      </c>
      <c r="C38" s="6" t="inlineStr">
        <is>
          <t>17/03/2026</t>
        </is>
      </c>
      <c r="D38" s="6" t="inlineStr">
        <is>
          <t>FERRALLADO PISCINA</t>
        </is>
      </c>
      <c r="E38" s="6" t="inlineStr"/>
      <c r="F38" s="6" t="inlineStr">
        <is>
          <t>IMPUTADO</t>
        </is>
      </c>
      <c r="G38" s="4" t="n">
        <v>1100</v>
      </c>
    </row>
    <row r="39">
      <c r="A39" s="6" t="inlineStr">
        <is>
          <t>LA ALBERCA (ADMINISTRACION)</t>
        </is>
      </c>
      <c r="B39" s="6" t="inlineStr">
        <is>
          <t>1.160,00</t>
        </is>
      </c>
      <c r="C39" s="6" t="inlineStr">
        <is>
          <t>17/03/2026</t>
        </is>
      </c>
      <c r="D39" s="6" t="inlineStr">
        <is>
          <t>GUNTIADO PISCINA</t>
        </is>
      </c>
      <c r="E39" s="6" t="inlineStr"/>
      <c r="F39" s="6" t="inlineStr">
        <is>
          <t>IMPUTADO</t>
        </is>
      </c>
      <c r="G39" s="4" t="n">
        <v>1100</v>
      </c>
    </row>
    <row r="40">
      <c r="A40" s="6" t="inlineStr">
        <is>
          <t>LA ALBERCA (ADMINISTRACION)</t>
        </is>
      </c>
      <c r="B40" s="6" t="inlineStr">
        <is>
          <t>579,00</t>
        </is>
      </c>
      <c r="C40" s="6" t="inlineStr">
        <is>
          <t>20/02/2026</t>
        </is>
      </c>
      <c r="D40" s="6" t="inlineStr">
        <is>
          <t>Material Alberca</t>
        </is>
      </c>
      <c r="E40" s="6" t="inlineStr"/>
      <c r="F40" s="6" t="inlineStr">
        <is>
          <t>IMPUTADO</t>
        </is>
      </c>
      <c r="G40" s="4" t="n">
        <v>1091.91</v>
      </c>
    </row>
    <row r="41">
      <c r="A41" s="6" t="inlineStr">
        <is>
          <t>LA ALBERCA (ADMINISTRACION)</t>
        </is>
      </c>
      <c r="B41" s="6" t="inlineStr">
        <is>
          <t>1.597,00</t>
        </is>
      </c>
      <c r="C41" s="6" t="inlineStr">
        <is>
          <t>21/05/2026</t>
        </is>
      </c>
      <c r="D41" s="6" t="inlineStr">
        <is>
          <t>GRUA</t>
        </is>
      </c>
      <c r="E41" s="6" t="inlineStr">
        <is>
          <t>GRUAS Y MAQUINARIA PETREL SL</t>
        </is>
      </c>
      <c r="F41" s="6" t="inlineStr">
        <is>
          <t>IMPUTADO</t>
        </is>
      </c>
      <c r="G41" s="4" t="n">
        <v>1040</v>
      </c>
    </row>
    <row r="42">
      <c r="A42" s="6" t="inlineStr">
        <is>
          <t>LA ALBERCA (ADMINISTRACION)</t>
        </is>
      </c>
      <c r="B42" s="6" t="inlineStr">
        <is>
          <t>1.520,00</t>
        </is>
      </c>
      <c r="C42" s="6" t="inlineStr">
        <is>
          <t>05/05/2026</t>
        </is>
      </c>
      <c r="D42" s="6" t="inlineStr">
        <is>
          <t>GRUA</t>
        </is>
      </c>
      <c r="E42" s="6" t="inlineStr">
        <is>
          <t>GRUAS Y MAQUINARIA PETREL SL</t>
        </is>
      </c>
      <c r="F42" s="6" t="inlineStr">
        <is>
          <t>IMPUTADO</t>
        </is>
      </c>
      <c r="G42" s="4" t="n">
        <v>1040</v>
      </c>
    </row>
    <row r="43">
      <c r="A43" s="6" t="inlineStr">
        <is>
          <t>LA ALBERCA (ADMINISTRACION)</t>
        </is>
      </c>
      <c r="B43" s="6" t="inlineStr">
        <is>
          <t>1.552,00</t>
        </is>
      </c>
      <c r="C43" s="6" t="inlineStr">
        <is>
          <t>07/05/2026</t>
        </is>
      </c>
      <c r="D43" s="6" t="inlineStr">
        <is>
          <t>MATERIAL PISCINA</t>
        </is>
      </c>
      <c r="E43" s="6" t="inlineStr"/>
      <c r="F43" s="6" t="inlineStr">
        <is>
          <t>IMPUTADO</t>
        </is>
      </c>
      <c r="G43" s="4" t="n">
        <v>953.9</v>
      </c>
    </row>
    <row r="44">
      <c r="A44" s="6" t="inlineStr">
        <is>
          <t>LA ALBERCA (ADMINISTRACION)</t>
        </is>
      </c>
      <c r="B44" s="6" t="inlineStr">
        <is>
          <t>1.158,00</t>
        </is>
      </c>
      <c r="C44" s="6" t="inlineStr">
        <is>
          <t>17/03/2026</t>
        </is>
      </c>
      <c r="D44" s="6" t="inlineStr">
        <is>
          <t>JOSE ANGEL PEREZ SANCHEZ</t>
        </is>
      </c>
      <c r="E44" s="6" t="inlineStr"/>
      <c r="F44" s="6" t="inlineStr">
        <is>
          <t>IMPUTADO</t>
        </is>
      </c>
      <c r="G44" s="4" t="n">
        <v>953.9</v>
      </c>
    </row>
    <row r="45">
      <c r="A45" s="6" t="inlineStr">
        <is>
          <t>LA ALBERCA (ADMINISTRACION)</t>
        </is>
      </c>
      <c r="B45" s="6" t="inlineStr">
        <is>
          <t>612,00</t>
        </is>
      </c>
      <c r="C45" s="6" t="inlineStr">
        <is>
          <t>20/02/2026</t>
        </is>
      </c>
      <c r="D45" s="6" t="inlineStr">
        <is>
          <t>FRAN EXCAVACIONES</t>
        </is>
      </c>
      <c r="E45" s="6" t="inlineStr">
        <is>
          <t>FRANCISO JAVIER SERNA GALVEZ</t>
        </is>
      </c>
      <c r="F45" s="6" t="inlineStr">
        <is>
          <t>IMPUTADO</t>
        </is>
      </c>
      <c r="G45" s="4" t="n">
        <v>900</v>
      </c>
    </row>
    <row r="46">
      <c r="A46" s="6" t="inlineStr">
        <is>
          <t>LA ALBERCA (ADMINISTRACION)</t>
        </is>
      </c>
      <c r="B46" s="6" t="inlineStr">
        <is>
          <t>1.563,00</t>
        </is>
      </c>
      <c r="C46" s="6" t="inlineStr">
        <is>
          <t>13/05/2026</t>
        </is>
      </c>
      <c r="D46" s="6" t="inlineStr">
        <is>
          <t>PRESUPUESTO 621346</t>
        </is>
      </c>
      <c r="E46" s="6" t="inlineStr">
        <is>
          <t>LEROY MERLIN ESPAÑA SL</t>
        </is>
      </c>
      <c r="F46" s="6" t="inlineStr">
        <is>
          <t>IMPUTADO</t>
        </is>
      </c>
      <c r="G46" s="4" t="n">
        <v>886.22</v>
      </c>
    </row>
    <row r="47">
      <c r="A47" s="6" t="inlineStr">
        <is>
          <t>LA ALBERCA (ADMINISTRACION)</t>
        </is>
      </c>
      <c r="B47" s="6" t="inlineStr">
        <is>
          <t>867,00</t>
        </is>
      </c>
      <c r="C47" s="6" t="inlineStr">
        <is>
          <t>27/02/2026</t>
        </is>
      </c>
      <c r="D47" s="6" t="inlineStr">
        <is>
          <t>LEROY MERLIN (PRESUPUESTO 601688)</t>
        </is>
      </c>
      <c r="E47" s="6" t="inlineStr">
        <is>
          <t>LEROY MERLIN ESPAÑA SL</t>
        </is>
      </c>
      <c r="F47" s="6" t="inlineStr">
        <is>
          <t>IMPUTADO</t>
        </is>
      </c>
      <c r="G47" s="4" t="n">
        <v>885.86</v>
      </c>
    </row>
    <row r="48">
      <c r="A48" s="6" t="inlineStr">
        <is>
          <t>LA ALBERCA (ADMINISTRACION)</t>
        </is>
      </c>
      <c r="B48" s="6" t="inlineStr">
        <is>
          <t>1.594,00</t>
        </is>
      </c>
      <c r="C48" s="6" t="inlineStr">
        <is>
          <t>21/05/2026</t>
        </is>
      </c>
      <c r="D48" s="6" t="inlineStr">
        <is>
          <t>MATERIAL OBRA</t>
        </is>
      </c>
      <c r="E48" s="6" t="inlineStr">
        <is>
          <t>MATERIALES DE CONSTRUCCION EL CARACOLES SL</t>
        </is>
      </c>
      <c r="F48" s="6" t="inlineStr">
        <is>
          <t>IMPUTADO</t>
        </is>
      </c>
      <c r="G48" s="4" t="n">
        <v>824.63</v>
      </c>
    </row>
    <row r="49">
      <c r="A49" s="6" t="inlineStr">
        <is>
          <t>LA ALBERCA (ADMINISTRACION)</t>
        </is>
      </c>
      <c r="B49" s="6" t="inlineStr">
        <is>
          <t>1.482,00</t>
        </is>
      </c>
      <c r="C49" s="6" t="inlineStr">
        <is>
          <t>27/04/2026</t>
        </is>
      </c>
      <c r="D49" s="6" t="inlineStr">
        <is>
          <t>HORMIGON #relleno muro sótano</t>
        </is>
      </c>
      <c r="E49" s="6" t="inlineStr">
        <is>
          <t>GRUPO ALJEMA RELOSA SL.</t>
        </is>
      </c>
      <c r="F49" s="6" t="inlineStr">
        <is>
          <t>IMPUTADO</t>
        </is>
      </c>
      <c r="G49" s="4" t="n">
        <v>818</v>
      </c>
    </row>
    <row r="50">
      <c r="A50" s="6" t="inlineStr">
        <is>
          <t>LA ALBERCA (ADMINISTRACION)</t>
        </is>
      </c>
      <c r="B50" s="6" t="inlineStr">
        <is>
          <t>1.590,00</t>
        </is>
      </c>
      <c r="C50" s="6" t="inlineStr">
        <is>
          <t>18/05/2026</t>
        </is>
      </c>
      <c r="D50" s="6" t="inlineStr">
        <is>
          <t>Wilson chapar gresite piscina</t>
        </is>
      </c>
      <c r="E50" s="6" t="inlineStr"/>
      <c r="F50" s="6" t="inlineStr">
        <is>
          <t>IMPUTADO</t>
        </is>
      </c>
      <c r="G50" s="4" t="n">
        <v>816</v>
      </c>
    </row>
    <row r="51">
      <c r="A51" s="6" t="inlineStr">
        <is>
          <t>LA ALBERCA (ADMINISTRACION)</t>
        </is>
      </c>
      <c r="B51" s="6" t="inlineStr">
        <is>
          <t>1.249,00</t>
        </is>
      </c>
      <c r="C51" s="6" t="inlineStr">
        <is>
          <t>15/04/2026</t>
        </is>
      </c>
      <c r="D51" s="6" t="inlineStr">
        <is>
          <t>PRESUPUESTO Nº 616208</t>
        </is>
      </c>
      <c r="E51" s="6" t="inlineStr">
        <is>
          <t>LEROY MERLIN ESPAÑA SL</t>
        </is>
      </c>
      <c r="F51" s="6" t="inlineStr">
        <is>
          <t>IMPUTADO</t>
        </is>
      </c>
      <c r="G51" s="4" t="n">
        <v>755.71</v>
      </c>
    </row>
    <row r="52">
      <c r="A52" s="6" t="inlineStr">
        <is>
          <t>LA ALBERCA (ADMINISTRACION)</t>
        </is>
      </c>
      <c r="B52" s="6" t="inlineStr">
        <is>
          <t>1.704,00</t>
        </is>
      </c>
      <c r="C52" s="6" t="inlineStr">
        <is>
          <t>16/06/2026</t>
        </is>
      </c>
      <c r="D52" s="6" t="inlineStr">
        <is>
          <t>PULIDO SUELO SÓTANO</t>
        </is>
      </c>
      <c r="E52" s="6" t="inlineStr">
        <is>
          <t>JULIAN GRACIA RODRIGUEZ</t>
        </is>
      </c>
      <c r="F52" s="6" t="inlineStr">
        <is>
          <t>IMPUTADO</t>
        </is>
      </c>
      <c r="G52" s="4" t="n">
        <v>700</v>
      </c>
    </row>
    <row r="53">
      <c r="A53" s="6" t="inlineStr">
        <is>
          <t>LA ALBERCA (ADMINISTRACION)</t>
        </is>
      </c>
      <c r="B53" s="6" t="inlineStr">
        <is>
          <t>1.534,00</t>
        </is>
      </c>
      <c r="C53" s="6" t="inlineStr">
        <is>
          <t>06/05/2026</t>
        </is>
      </c>
      <c r="D53" s="6" t="inlineStr">
        <is>
          <t>MATERIAL #pladur y albañileria</t>
        </is>
      </c>
      <c r="E53" s="6" t="inlineStr">
        <is>
          <t>MATERIALES DE CONSTRUCCION EL CARACOLES SL</t>
        </is>
      </c>
      <c r="F53" s="6" t="inlineStr">
        <is>
          <t>IMPUTADO</t>
        </is>
      </c>
      <c r="G53" s="4" t="n">
        <v>618.29</v>
      </c>
    </row>
    <row r="54">
      <c r="A54" s="6" t="inlineStr">
        <is>
          <t>LA ALBERCA (ADMINISTRACION)</t>
        </is>
      </c>
      <c r="B54" s="6" t="inlineStr">
        <is>
          <t>1.802,00</t>
        </is>
      </c>
      <c r="C54" s="6" t="inlineStr">
        <is>
          <t>10/07/2026</t>
        </is>
      </c>
      <c r="D54" s="6" t="inlineStr">
        <is>
          <t>GRUA</t>
        </is>
      </c>
      <c r="E54" s="6" t="inlineStr">
        <is>
          <t>GRUAS Y MAQUINARIA PETREL SL</t>
        </is>
      </c>
      <c r="F54" s="6" t="inlineStr">
        <is>
          <t>IMPUTADO</t>
        </is>
      </c>
      <c r="G54" s="4" t="n">
        <v>585</v>
      </c>
    </row>
    <row r="55">
      <c r="A55" s="6" t="inlineStr">
        <is>
          <t>LA ALBERCA (ADMINISTRACION)</t>
        </is>
      </c>
      <c r="B55" s="6" t="inlineStr">
        <is>
          <t>1.481,00</t>
        </is>
      </c>
      <c r="C55" s="6" t="inlineStr">
        <is>
          <t>27/04/2026</t>
        </is>
      </c>
      <c r="D55" s="6" t="inlineStr">
        <is>
          <t>GRUA</t>
        </is>
      </c>
      <c r="E55" s="6" t="inlineStr">
        <is>
          <t>GRUAS Y MAQUINARIA PETREL SL</t>
        </is>
      </c>
      <c r="F55" s="6" t="inlineStr">
        <is>
          <t>IMPUTADO</t>
        </is>
      </c>
      <c r="G55" s="4" t="n">
        <v>552.5</v>
      </c>
    </row>
    <row r="56">
      <c r="A56" s="6" t="inlineStr">
        <is>
          <t>LA ALBERCA (ADMINISTRACION)</t>
        </is>
      </c>
      <c r="B56" s="6" t="inlineStr">
        <is>
          <t>1.682,00</t>
        </is>
      </c>
      <c r="C56" s="6" t="inlineStr">
        <is>
          <t>09/06/2026</t>
        </is>
      </c>
      <c r="D56" s="6" t="inlineStr">
        <is>
          <t>GRUA</t>
        </is>
      </c>
      <c r="E56" s="6" t="inlineStr">
        <is>
          <t>GRUAS Y MAQUINARIA PETREL SL</t>
        </is>
      </c>
      <c r="F56" s="6" t="inlineStr">
        <is>
          <t>IMPUTADO</t>
        </is>
      </c>
      <c r="G56" s="4" t="n">
        <v>552</v>
      </c>
    </row>
    <row r="57">
      <c r="A57" s="6" t="inlineStr">
        <is>
          <t>LA ALBERCA (ADMINISTRACION)</t>
        </is>
      </c>
      <c r="B57" s="6" t="inlineStr">
        <is>
          <t>1.600,00</t>
        </is>
      </c>
      <c r="C57" s="6" t="inlineStr">
        <is>
          <t>21/05/2026</t>
        </is>
      </c>
      <c r="D57" s="6" t="inlineStr">
        <is>
          <t>EXCAVACION</t>
        </is>
      </c>
      <c r="E57" s="6" t="inlineStr">
        <is>
          <t>FRANCISO JAVIER SERNA GALVEZ</t>
        </is>
      </c>
      <c r="F57" s="6" t="inlineStr">
        <is>
          <t>IMPUTADO</t>
        </is>
      </c>
      <c r="G57" s="4" t="n">
        <v>500</v>
      </c>
    </row>
    <row r="58">
      <c r="A58" s="6" t="inlineStr">
        <is>
          <t>LA ALBERCA (ADMINISTRACION)</t>
        </is>
      </c>
      <c r="B58" s="6" t="inlineStr">
        <is>
          <t>1.599,00</t>
        </is>
      </c>
      <c r="C58" s="6" t="inlineStr">
        <is>
          <t>21/05/2026</t>
        </is>
      </c>
      <c r="D58" s="6" t="inlineStr">
        <is>
          <t>GRUA</t>
        </is>
      </c>
      <c r="E58" s="6" t="inlineStr">
        <is>
          <t>GRUAS Y MAQUINARIA PETREL SL</t>
        </is>
      </c>
      <c r="F58" s="6" t="inlineStr">
        <is>
          <t>IMPUTADO</t>
        </is>
      </c>
      <c r="G58" s="4" t="n">
        <v>390</v>
      </c>
    </row>
    <row r="59">
      <c r="A59" s="6" t="inlineStr">
        <is>
          <t>LA ALBERCA (ADMINISTRACION)</t>
        </is>
      </c>
      <c r="B59" s="6" t="inlineStr">
        <is>
          <t>1.637,00</t>
        </is>
      </c>
      <c r="C59" s="6" t="inlineStr">
        <is>
          <t>27/05/2026</t>
        </is>
      </c>
      <c r="D59" s="6" t="inlineStr">
        <is>
          <t>LLENADO CORONA PISCINA</t>
        </is>
      </c>
      <c r="E59" s="6" t="inlineStr">
        <is>
          <t>GRUPO ALJEMA RELOSA SL.</t>
        </is>
      </c>
      <c r="F59" s="6" t="inlineStr">
        <is>
          <t>IMPUTADO</t>
        </is>
      </c>
      <c r="G59" s="4" t="n">
        <v>356.25</v>
      </c>
    </row>
    <row r="60">
      <c r="A60" s="6" t="inlineStr">
        <is>
          <t>LA ALBERCA (ADMINISTRACION)</t>
        </is>
      </c>
      <c r="B60" s="6" t="inlineStr">
        <is>
          <t>621,00</t>
        </is>
      </c>
      <c r="C60" s="6" t="inlineStr">
        <is>
          <t>20/02/2026</t>
        </is>
      </c>
      <c r="D60" s="6" t="inlineStr">
        <is>
          <t>HORMIGÓN</t>
        </is>
      </c>
      <c r="E60" s="6" t="inlineStr">
        <is>
          <t>GRUPO ALJEMA RELOSA SL.</t>
        </is>
      </c>
      <c r="F60" s="6" t="inlineStr">
        <is>
          <t>IMPUTADO</t>
        </is>
      </c>
      <c r="G60" s="4" t="n">
        <v>316.5</v>
      </c>
    </row>
    <row r="61">
      <c r="A61" s="6" t="inlineStr">
        <is>
          <t>LA ALBERCA (ADMINISTRACION)</t>
        </is>
      </c>
      <c r="B61" s="6" t="inlineStr">
        <is>
          <t>580,00</t>
        </is>
      </c>
      <c r="C61" s="6" t="inlineStr">
        <is>
          <t>20/02/2026</t>
        </is>
      </c>
      <c r="D61" s="6" t="inlineStr">
        <is>
          <t>SACA GRAVIN</t>
        </is>
      </c>
      <c r="E61" s="6" t="inlineStr">
        <is>
          <t>CONSYDECOR SL</t>
        </is>
      </c>
      <c r="F61" s="6" t="inlineStr">
        <is>
          <t>IMPUTADO</t>
        </is>
      </c>
      <c r="G61" s="4" t="n">
        <v>239.84</v>
      </c>
    </row>
    <row r="62">
      <c r="A62" s="6" t="inlineStr">
        <is>
          <t>LA ALBERCA (ADMINISTRACION)</t>
        </is>
      </c>
      <c r="B62" s="6" t="inlineStr">
        <is>
          <t>1.541,00</t>
        </is>
      </c>
      <c r="C62" s="6" t="inlineStr">
        <is>
          <t>06/05/2026</t>
        </is>
      </c>
      <c r="D62" s="6" t="inlineStr">
        <is>
          <t>MATERIAL OBRA</t>
        </is>
      </c>
      <c r="E62" s="6" t="inlineStr">
        <is>
          <t>MATERIALES DE CONSTRUCCION EL CARACOLES SL</t>
        </is>
      </c>
      <c r="F62" s="6" t="inlineStr">
        <is>
          <t>IMPUTADO</t>
        </is>
      </c>
      <c r="G62" s="4" t="n">
        <v>230.76</v>
      </c>
    </row>
    <row r="63">
      <c r="A63" s="6" t="inlineStr">
        <is>
          <t>LA ALBERCA (ADMINISTRACION)</t>
        </is>
      </c>
      <c r="B63" s="6" t="inlineStr">
        <is>
          <t>1.707,00</t>
        </is>
      </c>
      <c r="C63" s="6" t="inlineStr">
        <is>
          <t>16/06/2026</t>
        </is>
      </c>
      <c r="D63" s="6" t="inlineStr">
        <is>
          <t>MATERIALES</t>
        </is>
      </c>
      <c r="E63" s="6" t="inlineStr">
        <is>
          <t>BRICOLAJE BRICOMAN SLU</t>
        </is>
      </c>
      <c r="F63" s="6" t="inlineStr">
        <is>
          <t>IMPUTADO</t>
        </is>
      </c>
      <c r="G63" s="4" t="n">
        <v>201.1</v>
      </c>
    </row>
    <row r="64">
      <c r="A64" s="6" t="inlineStr">
        <is>
          <t>LA ALBERCA (ADMINISTRACION)</t>
        </is>
      </c>
      <c r="B64" s="6" t="inlineStr">
        <is>
          <t>1.665,00</t>
        </is>
      </c>
      <c r="C64" s="6" t="inlineStr">
        <is>
          <t>09/06/2026</t>
        </is>
      </c>
      <c r="D64" s="6" t="inlineStr">
        <is>
          <t>FONTANERÍA</t>
        </is>
      </c>
      <c r="E64" s="6" t="inlineStr">
        <is>
          <t>FONTAFIX EAR</t>
        </is>
      </c>
      <c r="F64" s="6" t="inlineStr">
        <is>
          <t>IMPUTADO</t>
        </is>
      </c>
      <c r="G64" s="4" t="n">
        <v>200</v>
      </c>
    </row>
    <row r="65">
      <c r="A65" s="6" t="inlineStr">
        <is>
          <t>LA ALBERCA (ADMINISTRACION)</t>
        </is>
      </c>
      <c r="B65" s="6" t="inlineStr">
        <is>
          <t>1.571,00</t>
        </is>
      </c>
      <c r="C65" s="6" t="inlineStr">
        <is>
          <t>14/05/2026</t>
        </is>
      </c>
      <c r="D65" s="6" t="inlineStr">
        <is>
          <t>PRESUPUESTO Nº 621460</t>
        </is>
      </c>
      <c r="E65" s="6" t="inlineStr">
        <is>
          <t>LEROY MERLIN ESPAÑA SL</t>
        </is>
      </c>
      <c r="F65" s="6" t="inlineStr">
        <is>
          <t>IMPUTADO</t>
        </is>
      </c>
      <c r="G65" s="4" t="n">
        <v>191.74</v>
      </c>
    </row>
    <row r="66">
      <c r="A66" s="6" t="inlineStr">
        <is>
          <t>LA ALBERCA (ADMINISTRACION)</t>
        </is>
      </c>
      <c r="B66" s="6" t="inlineStr">
        <is>
          <t>1.638,00</t>
        </is>
      </c>
      <c r="C66" s="6" t="inlineStr">
        <is>
          <t>27/05/2026</t>
        </is>
      </c>
      <c r="D66" s="6" t="inlineStr">
        <is>
          <t>GRUA</t>
        </is>
      </c>
      <c r="E66" s="6" t="inlineStr">
        <is>
          <t>GRUAS Y MAQUINARIA PETREL SL</t>
        </is>
      </c>
      <c r="F66" s="6" t="inlineStr">
        <is>
          <t>IMPUTADO</t>
        </is>
      </c>
      <c r="G66" s="4" t="n">
        <v>162.5</v>
      </c>
    </row>
    <row r="67">
      <c r="A67" s="6" t="inlineStr">
        <is>
          <t>LA ALBERCA (ADMINISTRACION)</t>
        </is>
      </c>
      <c r="B67" s="6" t="inlineStr">
        <is>
          <t>1.546,00</t>
        </is>
      </c>
      <c r="C67" s="6" t="inlineStr">
        <is>
          <t>06/05/2026</t>
        </is>
      </c>
      <c r="D67" s="6" t="inlineStr">
        <is>
          <t>MAQUINARIA</t>
        </is>
      </c>
      <c r="E67" s="6" t="inlineStr">
        <is>
          <t>WURTH ESPAÑA SA</t>
        </is>
      </c>
      <c r="F67" s="6" t="inlineStr">
        <is>
          <t>IMPUTADO</t>
        </is>
      </c>
      <c r="G67" s="4" t="n">
        <v>153.12</v>
      </c>
    </row>
    <row r="68">
      <c r="A68" s="6" t="inlineStr">
        <is>
          <t>LA ALBERCA (ADMINISTRACION)</t>
        </is>
      </c>
      <c r="B68" s="6" t="inlineStr">
        <is>
          <t>1.701,00</t>
        </is>
      </c>
      <c r="C68" s="6" t="inlineStr">
        <is>
          <t>16/06/2026</t>
        </is>
      </c>
      <c r="D68" s="6" t="inlineStr">
        <is>
          <t>MATERIALES</t>
        </is>
      </c>
      <c r="E68" s="6" t="inlineStr">
        <is>
          <t>MATERIALES DE CONSTRUCCION EL CARACOLES SL</t>
        </is>
      </c>
      <c r="F68" s="6" t="inlineStr">
        <is>
          <t>IMPUTADO</t>
        </is>
      </c>
      <c r="G68" s="4" t="n">
        <v>139.43</v>
      </c>
    </row>
    <row r="69">
      <c r="A69" s="6" t="inlineStr">
        <is>
          <t>LA ALBERCA (ADMINISTRACION)</t>
        </is>
      </c>
      <c r="B69" s="6" t="inlineStr">
        <is>
          <t>1.678,00</t>
        </is>
      </c>
      <c r="C69" s="6" t="inlineStr">
        <is>
          <t>09/06/2026</t>
        </is>
      </c>
      <c r="D69" s="6" t="inlineStr">
        <is>
          <t>PUESTA EN MARCHA PISCINA</t>
        </is>
      </c>
      <c r="E69" s="6" t="inlineStr">
        <is>
          <t>LEROY MERLIN ESPAÑA SL</t>
        </is>
      </c>
      <c r="F69" s="6" t="inlineStr">
        <is>
          <t>IMPUTADO</t>
        </is>
      </c>
      <c r="G69" s="4" t="n">
        <v>132.11</v>
      </c>
    </row>
    <row r="70">
      <c r="A70" s="6" t="inlineStr">
        <is>
          <t>LA ALBERCA (ADMINISTRACION)</t>
        </is>
      </c>
      <c r="B70" s="6" t="inlineStr">
        <is>
          <t>1.676,00</t>
        </is>
      </c>
      <c r="C70" s="6" t="inlineStr">
        <is>
          <t>09/06/2026</t>
        </is>
      </c>
      <c r="D70" s="6" t="inlineStr">
        <is>
          <t>PINTURA PLADUR</t>
        </is>
      </c>
      <c r="E70" s="6" t="inlineStr">
        <is>
          <t>BRICOLAJE BRICOMAN SLU</t>
        </is>
      </c>
      <c r="F70" s="6" t="inlineStr">
        <is>
          <t>IMPUTADO</t>
        </is>
      </c>
      <c r="G70" s="4" t="n">
        <v>127.35</v>
      </c>
    </row>
    <row r="71">
      <c r="A71" s="6" t="inlineStr">
        <is>
          <t>LA ALBERCA (ADMINISTRACION)</t>
        </is>
      </c>
      <c r="B71" s="6" t="inlineStr">
        <is>
          <t>1.733,00</t>
        </is>
      </c>
      <c r="C71" s="6" t="inlineStr">
        <is>
          <t>19/06/2026</t>
        </is>
      </c>
      <c r="D71" s="6" t="inlineStr">
        <is>
          <t>GRAVIN</t>
        </is>
      </c>
      <c r="E71" s="6" t="inlineStr">
        <is>
          <t>LA AVENIDA CERAMICAS SL.</t>
        </is>
      </c>
      <c r="F71" s="6" t="inlineStr">
        <is>
          <t>IMPUTADO</t>
        </is>
      </c>
      <c r="G71" s="4" t="n">
        <v>120</v>
      </c>
    </row>
    <row r="72">
      <c r="A72" s="6" t="inlineStr">
        <is>
          <t>LA ALBERCA (ADMINISTRACION)</t>
        </is>
      </c>
      <c r="B72" s="6" t="inlineStr">
        <is>
          <t>1.705,00</t>
        </is>
      </c>
      <c r="C72" s="6" t="inlineStr">
        <is>
          <t>16/06/2026</t>
        </is>
      </c>
      <c r="D72" s="6" t="inlineStr">
        <is>
          <t>MATERIAL</t>
        </is>
      </c>
      <c r="E72" s="6" t="inlineStr">
        <is>
          <t>BRICOLAJE BRICOMAN SLU</t>
        </is>
      </c>
      <c r="F72" s="6" t="inlineStr">
        <is>
          <t>IMPUTADO</t>
        </is>
      </c>
      <c r="G72" s="4" t="n">
        <v>118.55</v>
      </c>
    </row>
    <row r="73">
      <c r="A73" s="6" t="inlineStr">
        <is>
          <t>LA ALBERCA (ADMINISTRACION)</t>
        </is>
      </c>
      <c r="B73" s="6" t="inlineStr">
        <is>
          <t>1.551,00</t>
        </is>
      </c>
      <c r="C73" s="6" t="inlineStr">
        <is>
          <t>07/05/2026</t>
        </is>
      </c>
      <c r="D73" s="6" t="inlineStr">
        <is>
          <t>SACA ARENA + LADRILLO</t>
        </is>
      </c>
      <c r="E73" s="6" t="inlineStr"/>
      <c r="F73" s="6" t="inlineStr">
        <is>
          <t>IMPUTADO</t>
        </is>
      </c>
      <c r="G73" s="4" t="n">
        <v>103.5</v>
      </c>
    </row>
    <row r="74">
      <c r="A74" s="6" t="inlineStr">
        <is>
          <t>LA ALBERCA (ADMINISTRACION)</t>
        </is>
      </c>
      <c r="B74" s="6" t="inlineStr">
        <is>
          <t>1.159,00</t>
        </is>
      </c>
      <c r="C74" s="6" t="inlineStr">
        <is>
          <t>17/03/2026</t>
        </is>
      </c>
      <c r="D74" s="6" t="inlineStr">
        <is>
          <t>JOSE ANGEL PEREZ SANCHEZ</t>
        </is>
      </c>
      <c r="E74" s="6" t="inlineStr"/>
      <c r="F74" s="6" t="inlineStr">
        <is>
          <t>IMPUTADO</t>
        </is>
      </c>
      <c r="G74" s="4" t="n">
        <v>103.5</v>
      </c>
    </row>
    <row r="75">
      <c r="A75" s="6" t="inlineStr">
        <is>
          <t>LA ALBERCA (ADMINISTRACION)</t>
        </is>
      </c>
      <c r="B75" s="6" t="inlineStr">
        <is>
          <t>1.666,00</t>
        </is>
      </c>
      <c r="C75" s="6" t="inlineStr">
        <is>
          <t>09/06/2026</t>
        </is>
      </c>
      <c r="D75" s="6" t="inlineStr">
        <is>
          <t>LLENADO PISCINA</t>
        </is>
      </c>
      <c r="E75" s="6" t="inlineStr">
        <is>
          <t>AGUAS TERSAN SL.</t>
        </is>
      </c>
      <c r="F75" s="6" t="inlineStr">
        <is>
          <t>IMPUTADO</t>
        </is>
      </c>
      <c r="G75" s="4" t="n">
        <v>95</v>
      </c>
    </row>
    <row r="76">
      <c r="A76" s="6" t="inlineStr">
        <is>
          <t>LA ALBERCA (ADMINISTRACION)</t>
        </is>
      </c>
      <c r="B76" s="6" t="inlineStr">
        <is>
          <t>1.505,00</t>
        </is>
      </c>
      <c r="C76" s="6" t="inlineStr">
        <is>
          <t>30/04/2026</t>
        </is>
      </c>
      <c r="D76" s="6" t="inlineStr">
        <is>
          <t>MATERIAL OBRA</t>
        </is>
      </c>
      <c r="E76" s="6" t="inlineStr">
        <is>
          <t>MATERIALES DE CONSTRUCCION EL CARACOLES SL</t>
        </is>
      </c>
      <c r="F76" s="6" t="inlineStr">
        <is>
          <t>IMPUTADO</t>
        </is>
      </c>
      <c r="G76" s="4" t="n">
        <v>93.2</v>
      </c>
    </row>
    <row r="77">
      <c r="A77" s="6" t="inlineStr">
        <is>
          <t>LA ALBERCA (ADMINISTRACION)</t>
        </is>
      </c>
      <c r="B77" s="6" t="inlineStr">
        <is>
          <t>864,00</t>
        </is>
      </c>
      <c r="C77" s="6" t="inlineStr">
        <is>
          <t>26/02/2026</t>
        </is>
      </c>
      <c r="D77" s="6" t="inlineStr">
        <is>
          <t>DESAGÜES PVC</t>
        </is>
      </c>
      <c r="E77" s="6" t="inlineStr">
        <is>
          <t>MATERIALES DE CONSTRUCCION EL CARACOLES SL</t>
        </is>
      </c>
      <c r="F77" s="6" t="inlineStr">
        <is>
          <t>IMPUTADO</t>
        </is>
      </c>
      <c r="G77" s="4" t="n">
        <v>92.26000000000001</v>
      </c>
    </row>
    <row r="78">
      <c r="A78" s="6" t="inlineStr">
        <is>
          <t>LA ALBERCA (ADMINISTRACION)</t>
        </is>
      </c>
      <c r="B78" s="6" t="inlineStr">
        <is>
          <t>1.694,00</t>
        </is>
      </c>
      <c r="C78" s="6" t="inlineStr">
        <is>
          <t>09/06/2026</t>
        </is>
      </c>
      <c r="D78" s="6" t="inlineStr">
        <is>
          <t>PLADUR</t>
        </is>
      </c>
      <c r="E78" s="6" t="inlineStr">
        <is>
          <t>LEROY MERLIN ESPAÑA SL</t>
        </is>
      </c>
      <c r="F78" s="6" t="inlineStr">
        <is>
          <t>IMPUTADO</t>
        </is>
      </c>
      <c r="G78" s="4" t="n">
        <v>74.38</v>
      </c>
    </row>
    <row r="79">
      <c r="A79" s="6" t="inlineStr">
        <is>
          <t>LA ALBERCA (ADMINISTRACION)</t>
        </is>
      </c>
      <c r="B79" s="6" t="inlineStr">
        <is>
          <t>1.214,00</t>
        </is>
      </c>
      <c r="C79" s="6" t="inlineStr">
        <is>
          <t>02/04/2026</t>
        </is>
      </c>
      <c r="D79" s="6" t="inlineStr">
        <is>
          <t>PLASTICO CIMENTACION</t>
        </is>
      </c>
      <c r="E79" s="6" t="inlineStr">
        <is>
          <t>JUAN JOSÉ MUÑOZ ROBLES</t>
        </is>
      </c>
      <c r="F79" s="6" t="inlineStr">
        <is>
          <t>IMPUTADO</t>
        </is>
      </c>
      <c r="G79" s="4" t="n">
        <v>72</v>
      </c>
    </row>
    <row r="80">
      <c r="A80" s="6" t="inlineStr">
        <is>
          <t>LA ALBERCA (ADMINISTRACION)</t>
        </is>
      </c>
      <c r="B80" s="6" t="inlineStr">
        <is>
          <t>1.533,00</t>
        </is>
      </c>
      <c r="C80" s="6" t="inlineStr">
        <is>
          <t>06/05/2026</t>
        </is>
      </c>
      <c r="D80" s="6" t="inlineStr">
        <is>
          <t>MATERIAL OBRA</t>
        </is>
      </c>
      <c r="E80" s="6" t="inlineStr">
        <is>
          <t>MATERIALES DE CONSTRUCCION EL CARACOLES SL</t>
        </is>
      </c>
      <c r="F80" s="6" t="inlineStr">
        <is>
          <t>IMPUTADO</t>
        </is>
      </c>
      <c r="G80" s="4" t="n">
        <v>71.8</v>
      </c>
    </row>
    <row r="81">
      <c r="A81" s="6" t="inlineStr">
        <is>
          <t>LA ALBERCA (ADMINISTRACION)</t>
        </is>
      </c>
      <c r="B81" s="6" t="inlineStr">
        <is>
          <t>865,00</t>
        </is>
      </c>
      <c r="C81" s="6" t="inlineStr">
        <is>
          <t>26/02/2026</t>
        </is>
      </c>
      <c r="D81" s="6" t="inlineStr">
        <is>
          <t>DESAGÜES PVC</t>
        </is>
      </c>
      <c r="E81" s="6" t="inlineStr">
        <is>
          <t>MATERIALES DE CONSTRUCCION EL CARACOLES SL</t>
        </is>
      </c>
      <c r="F81" s="6" t="inlineStr">
        <is>
          <t>IMPUTADO</t>
        </is>
      </c>
      <c r="G81" s="4" t="n">
        <v>70.73</v>
      </c>
    </row>
    <row r="82">
      <c r="A82" s="6" t="inlineStr">
        <is>
          <t>LA ALBERCA (ADMINISTRACION)</t>
        </is>
      </c>
      <c r="B82" s="6" t="inlineStr">
        <is>
          <t>1.689,00</t>
        </is>
      </c>
      <c r="C82" s="6" t="inlineStr">
        <is>
          <t>09/06/2026</t>
        </is>
      </c>
      <c r="D82" s="6" t="inlineStr">
        <is>
          <t>ARQUETAS PLASTICO</t>
        </is>
      </c>
      <c r="E82" s="6" t="inlineStr">
        <is>
          <t>BRICOLAJE BRICOMAN SLU</t>
        </is>
      </c>
      <c r="F82" s="6" t="inlineStr">
        <is>
          <t>IMPUTADO</t>
        </is>
      </c>
      <c r="G82" s="4" t="n">
        <v>70.09</v>
      </c>
    </row>
    <row r="83">
      <c r="A83" s="6" t="inlineStr">
        <is>
          <t>LA ALBERCA (ADMINISTRACION)</t>
        </is>
      </c>
      <c r="B83" s="6" t="inlineStr">
        <is>
          <t>1.670,00</t>
        </is>
      </c>
      <c r="C83" s="6" t="inlineStr">
        <is>
          <t>09/06/2026</t>
        </is>
      </c>
      <c r="D83" s="6" t="inlineStr">
        <is>
          <t>MATERIAL OBRA</t>
        </is>
      </c>
      <c r="E83" s="6" t="inlineStr">
        <is>
          <t>LEROY MERLIN ESPAÑA SL</t>
        </is>
      </c>
      <c r="F83" s="6" t="inlineStr">
        <is>
          <t>IMPUTADO</t>
        </is>
      </c>
      <c r="G83" s="4" t="n">
        <v>38.73</v>
      </c>
    </row>
    <row r="84">
      <c r="A84" s="6" t="inlineStr">
        <is>
          <t>LA ALBERCA (ADMINISTRACION)</t>
        </is>
      </c>
      <c r="B84" s="6" t="inlineStr">
        <is>
          <t>1.588,00</t>
        </is>
      </c>
      <c r="C84" s="6" t="inlineStr">
        <is>
          <t>15/05/2026</t>
        </is>
      </c>
      <c r="D84" s="6" t="inlineStr">
        <is>
          <t>MATERIAL OBRA</t>
        </is>
      </c>
      <c r="E84" s="6" t="inlineStr">
        <is>
          <t>UNICO CM SL.</t>
        </is>
      </c>
      <c r="F84" s="6" t="inlineStr">
        <is>
          <t>IMPUTADO</t>
        </is>
      </c>
      <c r="G84" s="4" t="n">
        <v>30.8</v>
      </c>
    </row>
    <row r="85">
      <c r="A85" s="6" t="inlineStr">
        <is>
          <t>LA ALBERCA (ADMINISTRACION)</t>
        </is>
      </c>
      <c r="B85" s="6" t="inlineStr">
        <is>
          <t>1.530,00</t>
        </is>
      </c>
      <c r="C85" s="6" t="inlineStr">
        <is>
          <t>05/05/2026</t>
        </is>
      </c>
      <c r="D85" s="6" t="inlineStr">
        <is>
          <t>MATERIAL OBRA</t>
        </is>
      </c>
      <c r="E85" s="6" t="inlineStr">
        <is>
          <t>UNICO CM SL.</t>
        </is>
      </c>
      <c r="F85" s="6" t="inlineStr">
        <is>
          <t>IMPUTADO</t>
        </is>
      </c>
      <c r="G85" s="4" t="n">
        <v>30.8</v>
      </c>
    </row>
    <row r="86">
      <c r="A86" s="6" t="inlineStr">
        <is>
          <t>LA ALBERCA (ADMINISTRACION)</t>
        </is>
      </c>
      <c r="B86" s="6" t="inlineStr">
        <is>
          <t>1.596,00</t>
        </is>
      </c>
      <c r="C86" s="6" t="inlineStr">
        <is>
          <t>21/05/2026</t>
        </is>
      </c>
      <c r="D86" s="6" t="inlineStr">
        <is>
          <t>PLADUR HABITACION</t>
        </is>
      </c>
      <c r="E86" s="6" t="inlineStr">
        <is>
          <t>LEROY MERLIN ESPAÑA SL</t>
        </is>
      </c>
      <c r="F86" s="6" t="inlineStr">
        <is>
          <t>IMPUTADO</t>
        </is>
      </c>
      <c r="G86" s="4" t="n">
        <v>27.56</v>
      </c>
    </row>
    <row r="87">
      <c r="A87" s="6" t="inlineStr">
        <is>
          <t>LA ALBERCA (ADMINISTRACION)</t>
        </is>
      </c>
      <c r="B87" s="6" t="inlineStr">
        <is>
          <t>1.668,00</t>
        </is>
      </c>
      <c r="C87" s="6" t="inlineStr">
        <is>
          <t>09/06/2026</t>
        </is>
      </c>
      <c r="D87" s="6" t="inlineStr">
        <is>
          <t>PINTURA</t>
        </is>
      </c>
      <c r="E87" s="6" t="inlineStr">
        <is>
          <t>BRICOLAJE BRICOMAN SLU</t>
        </is>
      </c>
      <c r="F87" s="6" t="inlineStr">
        <is>
          <t>IMPUTADO</t>
        </is>
      </c>
      <c r="G87" s="4" t="n">
        <v>26.86</v>
      </c>
    </row>
    <row r="88">
      <c r="A88" s="6" t="inlineStr">
        <is>
          <t>LA ALBERCA (ADMINISTRACION)</t>
        </is>
      </c>
      <c r="B88" s="6" t="inlineStr">
        <is>
          <t>1.679,00</t>
        </is>
      </c>
      <c r="C88" s="6" t="inlineStr">
        <is>
          <t>09/06/2026</t>
        </is>
      </c>
      <c r="D88" s="6" t="inlineStr">
        <is>
          <t>DESAGÜES</t>
        </is>
      </c>
      <c r="E88" s="6" t="inlineStr">
        <is>
          <t>BRICOLAJE BRICOMAN SLU</t>
        </is>
      </c>
      <c r="F88" s="6" t="inlineStr">
        <is>
          <t>IMPUTADO</t>
        </is>
      </c>
      <c r="G88" s="4" t="n">
        <v>22.77</v>
      </c>
    </row>
    <row r="89">
      <c r="A89" s="6" t="inlineStr">
        <is>
          <t>LA ALBERCA (ADMINISTRACION)</t>
        </is>
      </c>
      <c r="B89" s="6" t="inlineStr">
        <is>
          <t>1.687,00</t>
        </is>
      </c>
      <c r="C89" s="6" t="inlineStr">
        <is>
          <t>09/06/2026</t>
        </is>
      </c>
      <c r="D89" s="6" t="inlineStr">
        <is>
          <t>MATERAL OBRA</t>
        </is>
      </c>
      <c r="E89" s="6" t="inlineStr">
        <is>
          <t>LEROY MERLIN ESPAÑA SL</t>
        </is>
      </c>
      <c r="F89" s="6" t="inlineStr">
        <is>
          <t>IMPUTADO</t>
        </is>
      </c>
      <c r="G89" s="4" t="n">
        <v>19.34</v>
      </c>
    </row>
    <row r="90">
      <c r="A90" s="6" t="inlineStr">
        <is>
          <t>LA ALBERCA (ADMINISTRACION)</t>
        </is>
      </c>
      <c r="B90" s="6" t="inlineStr">
        <is>
          <t>642,00</t>
        </is>
      </c>
      <c r="C90" s="6" t="inlineStr">
        <is>
          <t>20/02/2026</t>
        </is>
      </c>
      <c r="D90" s="6" t="inlineStr">
        <is>
          <t>YESO CANTONERAS</t>
        </is>
      </c>
      <c r="E90" s="6" t="inlineStr">
        <is>
          <t>BRICOLAJE BRICOMAN SLU</t>
        </is>
      </c>
      <c r="F90" s="6" t="inlineStr">
        <is>
          <t>IMPUTADO</t>
        </is>
      </c>
      <c r="G90" s="4" t="n">
        <v>17.1</v>
      </c>
    </row>
    <row r="91">
      <c r="A91" s="6" t="inlineStr">
        <is>
          <t>LA ALBERCA (ADMINISTRACION)</t>
        </is>
      </c>
      <c r="B91" s="6" t="inlineStr">
        <is>
          <t>1.686,00</t>
        </is>
      </c>
      <c r="C91" s="6" t="inlineStr">
        <is>
          <t>09/06/2026</t>
        </is>
      </c>
      <c r="D91" s="6" t="inlineStr">
        <is>
          <t>PASTA PLADUR</t>
        </is>
      </c>
      <c r="E91" s="6" t="inlineStr">
        <is>
          <t>LEROY MERLIN ESPAÑA SL</t>
        </is>
      </c>
      <c r="F91" s="6" t="inlineStr">
        <is>
          <t>IMPUTADO</t>
        </is>
      </c>
      <c r="G91" s="4" t="n">
        <v>16.58</v>
      </c>
    </row>
    <row r="92">
      <c r="A92" s="6" t="inlineStr">
        <is>
          <t>LA ALBERCA (ADMINISTRACION)</t>
        </is>
      </c>
      <c r="B92" s="6" t="inlineStr">
        <is>
          <t>1.677,00</t>
        </is>
      </c>
      <c r="C92" s="6" t="inlineStr">
        <is>
          <t>09/06/2026</t>
        </is>
      </c>
      <c r="D92" s="6" t="inlineStr">
        <is>
          <t>PINTURA</t>
        </is>
      </c>
      <c r="E92" s="6" t="inlineStr">
        <is>
          <t>LEROY MERLIN ESPAÑA SL</t>
        </is>
      </c>
      <c r="F92" s="6" t="inlineStr">
        <is>
          <t>IMPUTADO</t>
        </is>
      </c>
      <c r="G92" s="4" t="n">
        <v>16.07</v>
      </c>
    </row>
    <row r="93">
      <c r="A93" s="6" t="inlineStr">
        <is>
          <t>LA ALBERCA (ADMINISTRACION)</t>
        </is>
      </c>
      <c r="B93" s="6" t="inlineStr">
        <is>
          <t>645,00</t>
        </is>
      </c>
      <c r="C93" s="6" t="inlineStr">
        <is>
          <t>20/02/2026</t>
        </is>
      </c>
      <c r="D93" s="6" t="inlineStr">
        <is>
          <t>MONOCAPA</t>
        </is>
      </c>
      <c r="E93" s="6" t="inlineStr">
        <is>
          <t>BRICOLAJE BRICOMAN SLU</t>
        </is>
      </c>
      <c r="F93" s="6" t="inlineStr">
        <is>
          <t>IMPUTADO</t>
        </is>
      </c>
      <c r="G93" s="4" t="n">
        <v>15.74</v>
      </c>
    </row>
    <row r="94">
      <c r="A94" s="6" t="inlineStr">
        <is>
          <t>LA ALBERCA (ADMINISTRACION)</t>
        </is>
      </c>
      <c r="B94" s="6" t="inlineStr">
        <is>
          <t>1.669,00</t>
        </is>
      </c>
      <c r="C94" s="6" t="inlineStr">
        <is>
          <t>09/06/2026</t>
        </is>
      </c>
      <c r="D94" s="6" t="inlineStr">
        <is>
          <t>MATERIAL OBRA</t>
        </is>
      </c>
      <c r="E94" s="6" t="inlineStr">
        <is>
          <t>LEROY MERLIN ESPAÑA SL</t>
        </is>
      </c>
      <c r="F94" s="6" t="inlineStr">
        <is>
          <t>IMPUTADO</t>
        </is>
      </c>
      <c r="G94" s="4" t="n">
        <v>14.92</v>
      </c>
    </row>
    <row r="95">
      <c r="A95" s="6" t="inlineStr">
        <is>
          <t>LA ALBERCA (ADMINISTRACION)</t>
        </is>
      </c>
      <c r="B95" s="6" t="inlineStr">
        <is>
          <t>1.231,00</t>
        </is>
      </c>
      <c r="C95" s="6" t="inlineStr">
        <is>
          <t>02/04/2026</t>
        </is>
      </c>
      <c r="D95" s="6" t="inlineStr">
        <is>
          <t>MATERIAL</t>
        </is>
      </c>
      <c r="E95" s="6" t="inlineStr">
        <is>
          <t>LEROY MERLIN ESPAÑA SL</t>
        </is>
      </c>
      <c r="F95" s="6" t="inlineStr">
        <is>
          <t>IMPUTADO</t>
        </is>
      </c>
      <c r="G95" s="4" t="n">
        <v>13.92</v>
      </c>
    </row>
    <row r="96">
      <c r="A96" s="6" t="inlineStr">
        <is>
          <t>LA ALBERCA (ADMINISTRACION)</t>
        </is>
      </c>
      <c r="B96" s="6" t="inlineStr">
        <is>
          <t>1.609,00</t>
        </is>
      </c>
      <c r="C96" s="6" t="inlineStr">
        <is>
          <t>21/05/2026</t>
        </is>
      </c>
      <c r="D96" s="6" t="inlineStr">
        <is>
          <t>MATERIAL</t>
        </is>
      </c>
      <c r="E96" s="6" t="inlineStr">
        <is>
          <t>JOSE ANTONIO GALLEGO LOPEZ</t>
        </is>
      </c>
      <c r="F96" s="6" t="inlineStr">
        <is>
          <t>IMPUTADO</t>
        </is>
      </c>
      <c r="G96" s="4" t="n">
        <v>9.68</v>
      </c>
    </row>
    <row r="97">
      <c r="A97" s="6" t="inlineStr">
        <is>
          <t>LA ALBERCA (ADMINISTRACION)</t>
        </is>
      </c>
      <c r="B97" s="6" t="inlineStr">
        <is>
          <t>1.703,00</t>
        </is>
      </c>
      <c r="C97" s="6" t="inlineStr">
        <is>
          <t>16/06/2026</t>
        </is>
      </c>
      <c r="D97" s="6" t="inlineStr">
        <is>
          <t>GRAVA</t>
        </is>
      </c>
      <c r="E97" s="6" t="inlineStr">
        <is>
          <t>BRICOLAJE BRICOMAN SLU</t>
        </is>
      </c>
      <c r="F97" s="6" t="inlineStr">
        <is>
          <t>IMPUTADO</t>
        </is>
      </c>
      <c r="G97" s="4" t="n">
        <v>9.42</v>
      </c>
    </row>
    <row r="98">
      <c r="A98" s="6" t="inlineStr">
        <is>
          <t>LA ALBERCA (ADMINISTRACION)</t>
        </is>
      </c>
      <c r="B98" s="6" t="inlineStr">
        <is>
          <t>1.688,00</t>
        </is>
      </c>
      <c r="C98" s="6" t="inlineStr">
        <is>
          <t>09/06/2026</t>
        </is>
      </c>
      <c r="D98" s="6" t="inlineStr">
        <is>
          <t>FONTANERIA</t>
        </is>
      </c>
      <c r="E98" s="6" t="inlineStr">
        <is>
          <t>LEROY MERLIN ESPAÑA SL</t>
        </is>
      </c>
      <c r="F98" s="6" t="inlineStr">
        <is>
          <t>IMPUTADO</t>
        </is>
      </c>
      <c r="G98" s="4" t="n">
        <v>5.03</v>
      </c>
    </row>
    <row r="99">
      <c r="A99" s="6" t="inlineStr">
        <is>
          <t>LA ALBERCA (ADMINISTRACION)</t>
        </is>
      </c>
      <c r="B99" s="6" t="inlineStr">
        <is>
          <t>1.268,00</t>
        </is>
      </c>
      <c r="C99" s="6" t="inlineStr">
        <is>
          <t>15/04/2026</t>
        </is>
      </c>
      <c r="D99" s="6" t="inlineStr">
        <is>
          <t>MATERIAL</t>
        </is>
      </c>
      <c r="E99" s="6" t="inlineStr">
        <is>
          <t>LEROY MERLIN ESPAÑA SL</t>
        </is>
      </c>
      <c r="F99" s="6" t="inlineStr">
        <is>
          <t>IMPUTADO</t>
        </is>
      </c>
      <c r="G99" s="4" t="n">
        <v>2.6</v>
      </c>
    </row>
    <row r="100">
      <c r="A100" s="6" t="inlineStr">
        <is>
          <t>OBRA C/CUARTEL DE ARTILLERIA, MURCIA (LA PARTE DIFICIL)</t>
        </is>
      </c>
      <c r="B100" s="6" t="inlineStr">
        <is>
          <t>561,00</t>
        </is>
      </c>
      <c r="C100" s="6" t="inlineStr">
        <is>
          <t>02/03/2026</t>
        </is>
      </c>
      <c r="D100" s="6" t="inlineStr">
        <is>
          <t>CONTENEDORES</t>
        </is>
      </c>
      <c r="E100" s="6" t="inlineStr">
        <is>
          <t>RECICLESAN SL</t>
        </is>
      </c>
      <c r="F100" s="6" t="inlineStr">
        <is>
          <t>IMPUTADO</t>
        </is>
      </c>
      <c r="G100" s="4" t="n">
        <v>2820.93</v>
      </c>
    </row>
    <row r="101">
      <c r="A101" s="6" t="inlineStr">
        <is>
          <t>OBRA C/CUARTEL DE ARTILLERIA, MURCIA (LA PARTE DIFICIL)</t>
        </is>
      </c>
      <c r="B101" s="6" t="inlineStr">
        <is>
          <t>550,00</t>
        </is>
      </c>
      <c r="C101" s="6" t="inlineStr">
        <is>
          <t>02/03/2026</t>
        </is>
      </c>
      <c r="D101" s="6" t="inlineStr">
        <is>
          <t>MINI Y CONTENEDORES</t>
        </is>
      </c>
      <c r="E101" s="6" t="inlineStr">
        <is>
          <t>FRANCISO JAVIER SERNA GALVEZ</t>
        </is>
      </c>
      <c r="F101" s="6" t="inlineStr">
        <is>
          <t>IMPUTADO</t>
        </is>
      </c>
      <c r="G101" s="4" t="n">
        <v>900</v>
      </c>
    </row>
    <row r="102">
      <c r="A102" s="6" t="inlineStr">
        <is>
          <t>OBRA C/CUARTEL DE ARTILLERIA, MURCIA (LA PARTE DIFICIL)</t>
        </is>
      </c>
      <c r="B102" s="6" t="inlineStr">
        <is>
          <t>613,00</t>
        </is>
      </c>
      <c r="C102" s="6" t="inlineStr">
        <is>
          <t>02/03/2026</t>
        </is>
      </c>
      <c r="D102" s="6" t="inlineStr">
        <is>
          <t>MEJORAS B FRAN EXCAVADORA</t>
        </is>
      </c>
      <c r="E102" s="6" t="inlineStr">
        <is>
          <t>FRANCISO JAVIER SERNA GALVEZ</t>
        </is>
      </c>
      <c r="F102" s="6" t="inlineStr">
        <is>
          <t>SIN IMPUTAR</t>
        </is>
      </c>
      <c r="G102" s="4" t="n">
        <v>340</v>
      </c>
    </row>
    <row r="103">
      <c r="A103" s="6" t="inlineStr">
        <is>
          <t>OBRA C/CUARTEL DE ARTILLERIA, MURCIA (LA PARTE DIFICIL)</t>
        </is>
      </c>
      <c r="B103" s="6" t="inlineStr">
        <is>
          <t>540,00</t>
        </is>
      </c>
      <c r="C103" s="6" t="inlineStr">
        <is>
          <t>02/03/2026</t>
        </is>
      </c>
      <c r="D103" s="6" t="inlineStr">
        <is>
          <t>CONTENEDORES</t>
        </is>
      </c>
      <c r="E103" s="6" t="inlineStr">
        <is>
          <t>RECICLESAN SL</t>
        </is>
      </c>
      <c r="F103" s="6" t="inlineStr">
        <is>
          <t>IMPUTADO</t>
        </is>
      </c>
      <c r="G103" s="4" t="n">
        <v>190</v>
      </c>
    </row>
    <row r="104">
      <c r="A104" s="6" t="inlineStr">
        <is>
          <t>OBRA C/CUARTEL DE ARTILLERIA, MURCIA (LA PARTE DIFICIL)</t>
        </is>
      </c>
      <c r="B104" s="6" t="inlineStr">
        <is>
          <t>565,00</t>
        </is>
      </c>
      <c r="C104" s="6" t="inlineStr">
        <is>
          <t>02/03/2026</t>
        </is>
      </c>
      <c r="D104" s="6" t="inlineStr">
        <is>
          <t>FONTANERO</t>
        </is>
      </c>
      <c r="E104" s="6" t="inlineStr">
        <is>
          <t>FONTAFIX EAR</t>
        </is>
      </c>
      <c r="F104" s="6" t="inlineStr">
        <is>
          <t>IMPUTADO</t>
        </is>
      </c>
      <c r="G104" s="4" t="n">
        <v>120</v>
      </c>
    </row>
    <row r="105">
      <c r="A105" s="6" t="inlineStr">
        <is>
          <t>OBRA C/FORMENTERA, 12 (JOAQUIN)</t>
        </is>
      </c>
      <c r="B105" s="6" t="inlineStr">
        <is>
          <t>1.096,00</t>
        </is>
      </c>
      <c r="C105" s="6" t="inlineStr">
        <is>
          <t>28/08/2026</t>
        </is>
      </c>
      <c r="D105" s="6" t="inlineStr">
        <is>
          <t>PRESUPUESTO 105197</t>
        </is>
      </c>
      <c r="E105" s="6" t="inlineStr">
        <is>
          <t>SALTOKI ELCHE SL.</t>
        </is>
      </c>
      <c r="F105" s="6" t="inlineStr">
        <is>
          <t>IMPUTADO</t>
        </is>
      </c>
      <c r="G105" s="4" t="n">
        <v>30088.56</v>
      </c>
    </row>
    <row r="106">
      <c r="A106" s="6" t="inlineStr">
        <is>
          <t>OBRA C/FORMENTERA, 12 (JOAQUIN)</t>
        </is>
      </c>
      <c r="B106" s="6" t="inlineStr">
        <is>
          <t>1.830,00</t>
        </is>
      </c>
      <c r="C106" s="6" t="inlineStr">
        <is>
          <t>24/07/2026</t>
        </is>
      </c>
      <c r="D106" s="6" t="inlineStr">
        <is>
          <t>VENTANAS-ESTORES-PUERTA SECCIONAL</t>
        </is>
      </c>
      <c r="E106" s="6" t="inlineStr">
        <is>
          <t>ALEJANDRO CUTILLAS CAÑABATE</t>
        </is>
      </c>
      <c r="F106" s="6" t="inlineStr">
        <is>
          <t>IMPUTADO</t>
        </is>
      </c>
      <c r="G106" s="4" t="n">
        <v>20675.8</v>
      </c>
    </row>
    <row r="107">
      <c r="A107" s="6" t="inlineStr">
        <is>
          <t>OBRA C/FORMENTERA, 12 (JOAQUIN)</t>
        </is>
      </c>
      <c r="B107" s="6" t="inlineStr">
        <is>
          <t>1.273,00</t>
        </is>
      </c>
      <c r="C107" s="6" t="inlineStr">
        <is>
          <t>28/04/2026</t>
        </is>
      </c>
      <c r="D107" s="6" t="inlineStr">
        <is>
          <t>PAGO 50¬ VENTANAS #ventanas/cristales</t>
        </is>
      </c>
      <c r="E107" s="6" t="inlineStr">
        <is>
          <t>ALEJANDRO CUTILLAS CAÑABATE</t>
        </is>
      </c>
      <c r="F107" s="6" t="inlineStr">
        <is>
          <t>IMPUTADO</t>
        </is>
      </c>
      <c r="G107" s="4" t="n">
        <v>13268.27</v>
      </c>
    </row>
    <row r="108">
      <c r="A108" s="6" t="inlineStr">
        <is>
          <t>OBRA C/FORMENTERA, 12 (JOAQUIN)</t>
        </is>
      </c>
      <c r="B108" s="6" t="inlineStr">
        <is>
          <t>1.655,00</t>
        </is>
      </c>
      <c r="C108" s="6" t="inlineStr">
        <is>
          <t>04/06/2026</t>
        </is>
      </c>
      <c r="D108" s="6" t="inlineStr">
        <is>
          <t>ALICATADO Y WC</t>
        </is>
      </c>
      <c r="E108" s="6" t="inlineStr">
        <is>
          <t>SALTOKI ALICANTE SL.</t>
        </is>
      </c>
      <c r="F108" s="6" t="inlineStr">
        <is>
          <t>IMPUTADO</t>
        </is>
      </c>
      <c r="G108" s="4" t="n">
        <v>9947.950000000001</v>
      </c>
    </row>
    <row r="109">
      <c r="A109" s="6" t="inlineStr">
        <is>
          <t>OBRA C/FORMENTERA, 12 (JOAQUIN)</t>
        </is>
      </c>
      <c r="B109" s="6" t="inlineStr">
        <is>
          <t>1.200,00</t>
        </is>
      </c>
      <c r="C109" s="6" t="inlineStr">
        <is>
          <t>28/04/2026</t>
        </is>
      </c>
      <c r="D109" s="6" t="inlineStr">
        <is>
          <t>GRIFERIA</t>
        </is>
      </c>
      <c r="E109" s="6" t="inlineStr">
        <is>
          <t>SALTOKI ELCHE SL.</t>
        </is>
      </c>
      <c r="F109" s="6" t="inlineStr">
        <is>
          <t>IMPUTADO</t>
        </is>
      </c>
      <c r="G109" s="4" t="n">
        <v>8750.07</v>
      </c>
    </row>
    <row r="110">
      <c r="A110" s="6" t="inlineStr">
        <is>
          <t>OBRA C/FORMENTERA, 12 (JOAQUIN)</t>
        </is>
      </c>
      <c r="B110" s="6" t="inlineStr">
        <is>
          <t>479,00</t>
        </is>
      </c>
      <c r="C110" s="6" t="inlineStr">
        <is>
          <t>24/02/2026</t>
        </is>
      </c>
      <c r="D110" s="6" t="inlineStr">
        <is>
          <t>PLADUR</t>
        </is>
      </c>
      <c r="E110" s="6" t="inlineStr"/>
      <c r="F110" s="6" t="inlineStr">
        <is>
          <t>IMPUTADO</t>
        </is>
      </c>
      <c r="G110" s="4" t="n">
        <v>7612.99</v>
      </c>
    </row>
    <row r="111">
      <c r="A111" s="6" t="inlineStr">
        <is>
          <t>OBRA C/FORMENTERA, 12 (JOAQUIN)</t>
        </is>
      </c>
      <c r="B111" s="6" t="inlineStr">
        <is>
          <t>1.763,00</t>
        </is>
      </c>
      <c r="C111" s="6" t="inlineStr">
        <is>
          <t>30/06/2026</t>
        </is>
      </c>
      <c r="D111" s="6" t="inlineStr">
        <is>
          <t>ALBARANES ALICANTE</t>
        </is>
      </c>
      <c r="E111" s="6" t="inlineStr">
        <is>
          <t>SALTOKI ALICANTE SL.</t>
        </is>
      </c>
      <c r="F111" s="6" t="inlineStr">
        <is>
          <t>IMPUTADO</t>
        </is>
      </c>
      <c r="G111" s="4" t="n">
        <v>6084.74</v>
      </c>
    </row>
    <row r="112">
      <c r="A112" s="6" t="inlineStr">
        <is>
          <t>OBRA C/FORMENTERA, 12 (JOAQUIN)</t>
        </is>
      </c>
      <c r="B112" s="6" t="inlineStr">
        <is>
          <t>1.488,00</t>
        </is>
      </c>
      <c r="C112" s="6" t="inlineStr">
        <is>
          <t>28/04/2026</t>
        </is>
      </c>
      <c r="D112" s="6" t="inlineStr">
        <is>
          <t>PISO CASA PORCELANICO #albañileria/suministro piso</t>
        </is>
      </c>
      <c r="E112" s="6" t="inlineStr">
        <is>
          <t>SALTOKI ELCHE SL.</t>
        </is>
      </c>
      <c r="F112" s="6" t="inlineStr">
        <is>
          <t>IMPUTADO</t>
        </is>
      </c>
      <c r="G112" s="4" t="n">
        <v>6000.19</v>
      </c>
    </row>
    <row r="113">
      <c r="A113" s="6" t="inlineStr">
        <is>
          <t>OBRA C/FORMENTERA, 12 (JOAQUIN)</t>
        </is>
      </c>
      <c r="B113" s="6" t="inlineStr">
        <is>
          <t>383,00</t>
        </is>
      </c>
      <c r="C113" s="6" t="inlineStr">
        <is>
          <t>25/02/2026</t>
        </is>
      </c>
      <c r="D113" s="6" t="inlineStr">
        <is>
          <t>HORMIGÓN</t>
        </is>
      </c>
      <c r="E113" s="6" t="inlineStr"/>
      <c r="F113" s="6" t="inlineStr">
        <is>
          <t>IMPUTADO</t>
        </is>
      </c>
      <c r="G113" s="4" t="n">
        <v>5868.75</v>
      </c>
    </row>
    <row r="114">
      <c r="A114" s="6" t="inlineStr">
        <is>
          <t>OBRA C/FORMENTERA, 12 (JOAQUIN)</t>
        </is>
      </c>
      <c r="B114" s="6" t="inlineStr">
        <is>
          <t>337,00</t>
        </is>
      </c>
      <c r="C114" s="6" t="inlineStr"/>
      <c r="D114" s="6" t="inlineStr">
        <is>
          <t>MATERIAL</t>
        </is>
      </c>
      <c r="E114" s="6" t="inlineStr"/>
      <c r="F114" s="6" t="inlineStr">
        <is>
          <t>SIN IMPUTAR</t>
        </is>
      </c>
      <c r="G114" s="4" t="n">
        <v>5814.22</v>
      </c>
    </row>
    <row r="115">
      <c r="A115" s="6" t="inlineStr">
        <is>
          <t>OBRA C/FORMENTERA, 12 (JOAQUIN)</t>
        </is>
      </c>
      <c r="B115" s="6" t="inlineStr">
        <is>
          <t>861,00</t>
        </is>
      </c>
      <c r="C115" s="6" t="inlineStr">
        <is>
          <t>25/02/2026</t>
        </is>
      </c>
      <c r="D115" s="6" t="inlineStr">
        <is>
          <t>ELECTRICIDAD #ELECTRICIDAD</t>
        </is>
      </c>
      <c r="E115" s="6" t="inlineStr"/>
      <c r="F115" s="6" t="inlineStr">
        <is>
          <t>IMPUTADO</t>
        </is>
      </c>
      <c r="G115" s="4" t="n">
        <v>5700</v>
      </c>
    </row>
    <row r="116">
      <c r="A116" s="6" t="inlineStr">
        <is>
          <t>OBRA C/FORMENTERA, 12 (JOAQUIN)</t>
        </is>
      </c>
      <c r="B116" s="6" t="inlineStr">
        <is>
          <t>412,00</t>
        </is>
      </c>
      <c r="C116" s="6" t="inlineStr">
        <is>
          <t>04/03/2026</t>
        </is>
      </c>
      <c r="D116" s="6" t="inlineStr">
        <is>
          <t>FERRALLA CIMENTACION</t>
        </is>
      </c>
      <c r="E116" s="6" t="inlineStr"/>
      <c r="F116" s="6" t="inlineStr">
        <is>
          <t>IMPUTADO</t>
        </is>
      </c>
      <c r="G116" s="4" t="n">
        <v>5142.9</v>
      </c>
    </row>
    <row r="117">
      <c r="A117" s="6" t="inlineStr">
        <is>
          <t>OBRA C/FORMENTERA, 12 (JOAQUIN)</t>
        </is>
      </c>
      <c r="B117" s="6" t="inlineStr">
        <is>
          <t>345,00</t>
        </is>
      </c>
      <c r="C117" s="6" t="inlineStr"/>
      <c r="D117" s="6" t="inlineStr">
        <is>
          <t>HORMIGON</t>
        </is>
      </c>
      <c r="E117" s="6" t="inlineStr"/>
      <c r="F117" s="6" t="inlineStr">
        <is>
          <t>SIN IMPUTAR</t>
        </is>
      </c>
      <c r="G117" s="4" t="n">
        <v>4796.5</v>
      </c>
    </row>
    <row r="118">
      <c r="A118" s="6" t="inlineStr">
        <is>
          <t>OBRA C/FORMENTERA, 12 (JOAQUIN)</t>
        </is>
      </c>
      <c r="B118" s="6" t="inlineStr">
        <is>
          <t>304,00</t>
        </is>
      </c>
      <c r="C118" s="6" t="inlineStr">
        <is>
          <t>11/02/2026</t>
        </is>
      </c>
      <c r="D118" s="6" t="inlineStr">
        <is>
          <t>AUTONIVELANTE</t>
        </is>
      </c>
      <c r="E118" s="6" t="inlineStr"/>
      <c r="F118" s="6" t="inlineStr">
        <is>
          <t>IMPUTADO</t>
        </is>
      </c>
      <c r="G118" s="4" t="n">
        <v>4618.86</v>
      </c>
    </row>
    <row r="119">
      <c r="A119" s="6" t="inlineStr">
        <is>
          <t>OBRA C/FORMENTERA, 12 (JOAQUIN)</t>
        </is>
      </c>
      <c r="B119" s="6" t="inlineStr">
        <is>
          <t>329,00</t>
        </is>
      </c>
      <c r="C119" s="6" t="inlineStr"/>
      <c r="D119" s="6" t="inlineStr">
        <is>
          <t>IMPERMEABILIZACION TERRAZA</t>
        </is>
      </c>
      <c r="E119" s="6" t="inlineStr"/>
      <c r="F119" s="6" t="inlineStr">
        <is>
          <t>SIN IMPUTAR</t>
        </is>
      </c>
      <c r="G119" s="4" t="n">
        <v>4500</v>
      </c>
    </row>
    <row r="120">
      <c r="A120" s="6" t="inlineStr">
        <is>
          <t>OBRA C/FORMENTERA, 12 (JOAQUIN)</t>
        </is>
      </c>
      <c r="B120" s="6" t="inlineStr">
        <is>
          <t>1.809,00</t>
        </is>
      </c>
      <c r="C120" s="6" t="inlineStr">
        <is>
          <t>13/07/2026</t>
        </is>
      </c>
      <c r="D120" s="6" t="inlineStr">
        <is>
          <t>TECHOS PLADUR</t>
        </is>
      </c>
      <c r="E120" s="6" t="inlineStr">
        <is>
          <t>PLADINTER OBRAS Y SERVICIOS SL</t>
        </is>
      </c>
      <c r="F120" s="6" t="inlineStr">
        <is>
          <t>IMPUTADO</t>
        </is>
      </c>
      <c r="G120" s="4" t="n">
        <v>4168.81</v>
      </c>
    </row>
    <row r="121">
      <c r="A121" s="6" t="inlineStr">
        <is>
          <t>OBRA C/FORMENTERA, 12 (JOAQUIN)</t>
        </is>
      </c>
      <c r="B121" s="6" t="inlineStr">
        <is>
          <t>1.789,00</t>
        </is>
      </c>
      <c r="C121" s="6" t="inlineStr">
        <is>
          <t>13/07/2026</t>
        </is>
      </c>
      <c r="D121" s="6" t="inlineStr">
        <is>
          <t>HORMIGON IMPRESO</t>
        </is>
      </c>
      <c r="E121" s="6" t="inlineStr">
        <is>
          <t>PAVIMPRESOS FORTUNA MMXVIII C.B.</t>
        </is>
      </c>
      <c r="F121" s="6" t="inlineStr">
        <is>
          <t>IMPUTADO</t>
        </is>
      </c>
      <c r="G121" s="4" t="n">
        <v>4000</v>
      </c>
    </row>
    <row r="122">
      <c r="A122" s="6" t="inlineStr">
        <is>
          <t>OBRA C/FORMENTERA, 12 (JOAQUIN)</t>
        </is>
      </c>
      <c r="B122" s="6" t="inlineStr">
        <is>
          <t>1.598,00</t>
        </is>
      </c>
      <c r="C122" s="6" t="inlineStr">
        <is>
          <t>28/08/2026</t>
        </is>
      </c>
      <c r="D122" s="6" t="inlineStr">
        <is>
          <t>ESTORES</t>
        </is>
      </c>
      <c r="E122" s="6" t="inlineStr">
        <is>
          <t>ALEJANDRO CUTILLAS CAÑABATE</t>
        </is>
      </c>
      <c r="F122" s="6" t="inlineStr">
        <is>
          <t>IMPUTADO</t>
        </is>
      </c>
      <c r="G122" s="4" t="n">
        <v>3983.17</v>
      </c>
    </row>
    <row r="123">
      <c r="A123" s="6" t="inlineStr">
        <is>
          <t>OBRA C/FORMENTERA, 12 (JOAQUIN)</t>
        </is>
      </c>
      <c r="B123" s="6" t="inlineStr">
        <is>
          <t>1.832,00</t>
        </is>
      </c>
      <c r="C123" s="6" t="inlineStr">
        <is>
          <t>24/07/2026</t>
        </is>
      </c>
      <c r="D123" s="6" t="inlineStr">
        <is>
          <t>PUERTA CORREDERA/VALLA METALICA/PUERTA PEATONAL</t>
        </is>
      </c>
      <c r="E123" s="6" t="inlineStr">
        <is>
          <t>ALEJANDRO CUTILLAS CAÑABATE</t>
        </is>
      </c>
      <c r="F123" s="6" t="inlineStr">
        <is>
          <t>IMPUTADO</t>
        </is>
      </c>
      <c r="G123" s="4" t="n">
        <v>3983.16</v>
      </c>
    </row>
    <row r="124">
      <c r="A124" s="6" t="inlineStr">
        <is>
          <t>OBRA C/FORMENTERA, 12 (JOAQUIN)</t>
        </is>
      </c>
      <c r="B124" s="6" t="inlineStr">
        <is>
          <t>1.762,00</t>
        </is>
      </c>
      <c r="C124" s="6" t="inlineStr">
        <is>
          <t>30/06/2026</t>
        </is>
      </c>
      <c r="D124" s="6" t="inlineStr">
        <is>
          <t>MUEBLES BAÑO</t>
        </is>
      </c>
      <c r="E124" s="6" t="inlineStr">
        <is>
          <t>BANOS BARCOS S.L.</t>
        </is>
      </c>
      <c r="F124" s="6" t="inlineStr">
        <is>
          <t>IMPUTADO</t>
        </is>
      </c>
      <c r="G124" s="4" t="n">
        <v>3983</v>
      </c>
    </row>
    <row r="125">
      <c r="A125" s="6" t="inlineStr">
        <is>
          <t>OBRA C/FORMENTERA, 12 (JOAQUIN)</t>
        </is>
      </c>
      <c r="B125" s="6" t="inlineStr">
        <is>
          <t>355,00</t>
        </is>
      </c>
      <c r="C125" s="6" t="inlineStr"/>
      <c r="D125" s="6" t="inlineStr">
        <is>
          <t>HIERRO CIMENTACIÓN</t>
        </is>
      </c>
      <c r="E125" s="6" t="inlineStr"/>
      <c r="F125" s="6" t="inlineStr">
        <is>
          <t>SIN IMPUTAR</t>
        </is>
      </c>
      <c r="G125" s="4" t="n">
        <v>3911.7</v>
      </c>
    </row>
    <row r="126">
      <c r="A126" s="6" t="inlineStr">
        <is>
          <t>OBRA C/FORMENTERA, 12 (JOAQUIN)</t>
        </is>
      </c>
      <c r="B126" s="6" t="inlineStr">
        <is>
          <t>522,00</t>
        </is>
      </c>
      <c r="C126" s="6" t="inlineStr">
        <is>
          <t>11/02/2026</t>
        </is>
      </c>
      <c r="D126" s="6" t="inlineStr">
        <is>
          <t>SUMINISTRO, RELLENO Y EXTENDIDO DE MACHACA</t>
        </is>
      </c>
      <c r="E126" s="6" t="inlineStr"/>
      <c r="F126" s="6" t="inlineStr">
        <is>
          <t>IMPUTADO</t>
        </is>
      </c>
      <c r="G126" s="4" t="n">
        <v>3520</v>
      </c>
    </row>
    <row r="127">
      <c r="A127" s="6" t="inlineStr">
        <is>
          <t>OBRA C/FORMENTERA, 12 (JOAQUIN)</t>
        </is>
      </c>
      <c r="B127" s="6" t="inlineStr">
        <is>
          <t>1.888,00</t>
        </is>
      </c>
      <c r="C127" s="6" t="inlineStr">
        <is>
          <t>31/08/2026</t>
        </is>
      </c>
      <c r="D127" s="6" t="inlineStr">
        <is>
          <t>PINTORES</t>
        </is>
      </c>
      <c r="E127" s="6" t="inlineStr">
        <is>
          <t>PROYECTO PATIOS BLANCOS SL.</t>
        </is>
      </c>
      <c r="F127" s="6" t="inlineStr">
        <is>
          <t>IMPUTADO</t>
        </is>
      </c>
      <c r="G127" s="4" t="n">
        <v>3300</v>
      </c>
    </row>
    <row r="128">
      <c r="A128" s="6" t="inlineStr">
        <is>
          <t>OBRA C/FORMENTERA, 12 (JOAQUIN)</t>
        </is>
      </c>
      <c r="B128" s="6" t="inlineStr">
        <is>
          <t>311,00</t>
        </is>
      </c>
      <c r="C128" s="6" t="inlineStr">
        <is>
          <t>06/03/2026</t>
        </is>
      </c>
      <c r="D128" s="6" t="inlineStr">
        <is>
          <t>GRUA</t>
        </is>
      </c>
      <c r="E128" s="6" t="inlineStr">
        <is>
          <t>GRUAS Y MAQUINARIA PETREL SL</t>
        </is>
      </c>
      <c r="F128" s="6" t="inlineStr">
        <is>
          <t>IMPUTADO</t>
        </is>
      </c>
      <c r="G128" s="4" t="n">
        <v>3220</v>
      </c>
    </row>
    <row r="129">
      <c r="A129" s="6" t="inlineStr">
        <is>
          <t>OBRA C/FORMENTERA, 12 (JOAQUIN)</t>
        </is>
      </c>
      <c r="B129" s="6" t="inlineStr">
        <is>
          <t>1.831,00</t>
        </is>
      </c>
      <c r="C129" s="6" t="inlineStr">
        <is>
          <t>26/08/2026</t>
        </is>
      </c>
      <c r="D129" s="6" t="inlineStr">
        <is>
          <t>MOSQUITERAS</t>
        </is>
      </c>
      <c r="E129" s="6" t="inlineStr">
        <is>
          <t>ALEJANDRO CUTILLAS CAÑABATE</t>
        </is>
      </c>
      <c r="F129" s="6" t="inlineStr">
        <is>
          <t>IMPUTADO</t>
        </is>
      </c>
      <c r="G129" s="4" t="n">
        <v>3197.92</v>
      </c>
    </row>
    <row r="130">
      <c r="A130" s="6" t="inlineStr">
        <is>
          <t>OBRA C/FORMENTERA, 12 (JOAQUIN)</t>
        </is>
      </c>
      <c r="B130" s="6" t="inlineStr">
        <is>
          <t>1.734,00</t>
        </is>
      </c>
      <c r="C130" s="6" t="inlineStr">
        <is>
          <t>19/06/2026</t>
        </is>
      </c>
      <c r="D130" s="6" t="inlineStr">
        <is>
          <t>ROLLO CARTON / CINTA KREEP / BOMBAS AIRELESS WERKU</t>
        </is>
      </c>
      <c r="E130" s="6" t="inlineStr">
        <is>
          <t>SANZ BUILDING 2000 SL</t>
        </is>
      </c>
      <c r="F130" s="6" t="inlineStr">
        <is>
          <t>IMPUTADO</t>
        </is>
      </c>
      <c r="G130" s="4" t="n">
        <v>3115.28</v>
      </c>
    </row>
    <row r="131">
      <c r="A131" s="6" t="inlineStr">
        <is>
          <t>OBRA C/FORMENTERA, 12 (JOAQUIN)</t>
        </is>
      </c>
      <c r="B131" s="6" t="inlineStr">
        <is>
          <t>364,00</t>
        </is>
      </c>
      <c r="C131" s="6" t="inlineStr">
        <is>
          <t>25/02/2026</t>
        </is>
      </c>
      <c r="D131" s="6" t="inlineStr">
        <is>
          <t>HORMIGON</t>
        </is>
      </c>
      <c r="E131" s="6" t="inlineStr"/>
      <c r="F131" s="6" t="inlineStr">
        <is>
          <t>IMPUTADO</t>
        </is>
      </c>
      <c r="G131" s="4" t="n">
        <v>3075.25</v>
      </c>
    </row>
    <row r="132">
      <c r="A132" s="6" t="inlineStr">
        <is>
          <t>OBRA C/FORMENTERA, 12 (JOAQUIN)</t>
        </is>
      </c>
      <c r="B132" s="6" t="inlineStr">
        <is>
          <t>899,00</t>
        </is>
      </c>
      <c r="C132" s="6" t="inlineStr">
        <is>
          <t>04/03/2026</t>
        </is>
      </c>
      <c r="D132" s="6" t="inlineStr">
        <is>
          <t>PRESUPUESTO Nº605458</t>
        </is>
      </c>
      <c r="E132" s="6" t="inlineStr">
        <is>
          <t>LEROY MERLIN ESPAÑA SL</t>
        </is>
      </c>
      <c r="F132" s="6" t="inlineStr">
        <is>
          <t>IMPUTADO</t>
        </is>
      </c>
      <c r="G132" s="4" t="n">
        <v>3063.04</v>
      </c>
    </row>
    <row r="133">
      <c r="A133" s="6" t="inlineStr">
        <is>
          <t>OBRA C/FORMENTERA, 12 (JOAQUIN)</t>
        </is>
      </c>
      <c r="B133" s="6" t="inlineStr">
        <is>
          <t>493,00</t>
        </is>
      </c>
      <c r="C133" s="6" t="inlineStr">
        <is>
          <t>06/03/2026</t>
        </is>
      </c>
      <c r="D133" s="6" t="inlineStr">
        <is>
          <t>AZULEJOS</t>
        </is>
      </c>
      <c r="E133" s="6" t="inlineStr">
        <is>
          <t>EDI CHRISTIAN PALACIOS</t>
        </is>
      </c>
      <c r="F133" s="6" t="inlineStr">
        <is>
          <t>IMPUTADO</t>
        </is>
      </c>
      <c r="G133" s="4" t="n">
        <v>3011.76</v>
      </c>
    </row>
    <row r="134">
      <c r="A134" s="6" t="inlineStr">
        <is>
          <t>OBRA C/FORMENTERA, 12 (JOAQUIN)</t>
        </is>
      </c>
      <c r="B134" s="6" t="inlineStr">
        <is>
          <t>374,00</t>
        </is>
      </c>
      <c r="C134" s="6" t="inlineStr"/>
      <c r="D134" s="6" t="inlineStr">
        <is>
          <t>GRUA</t>
        </is>
      </c>
      <c r="E134" s="6" t="inlineStr">
        <is>
          <t>GRUAS Y MAQUINARIA PETREL SL</t>
        </is>
      </c>
      <c r="F134" s="6" t="inlineStr">
        <is>
          <t>SIN IMPUTAR</t>
        </is>
      </c>
      <c r="G134" s="4" t="n">
        <v>2905</v>
      </c>
    </row>
    <row r="135">
      <c r="A135" s="6" t="inlineStr">
        <is>
          <t>OBRA C/FORMENTERA, 12 (JOAQUIN)</t>
        </is>
      </c>
      <c r="B135" s="6" t="inlineStr">
        <is>
          <t>1.780,00</t>
        </is>
      </c>
      <c r="C135" s="6" t="inlineStr">
        <is>
          <t>10/07/2026</t>
        </is>
      </c>
      <c r="D135" s="6" t="inlineStr">
        <is>
          <t>ELECTRICIDAD</t>
        </is>
      </c>
      <c r="E135" s="6" t="inlineStr">
        <is>
          <t>INSTALACIONES ELECTRICAS FERRIS, O.E.</t>
        </is>
      </c>
      <c r="F135" s="6" t="inlineStr">
        <is>
          <t>IMPUTADO</t>
        </is>
      </c>
      <c r="G135" s="4" t="n">
        <v>2900</v>
      </c>
    </row>
    <row r="136">
      <c r="A136" s="6" t="inlineStr">
        <is>
          <t>OBRA C/FORMENTERA, 12 (JOAQUIN)</t>
        </is>
      </c>
      <c r="B136" s="6" t="inlineStr">
        <is>
          <t>1.657,00</t>
        </is>
      </c>
      <c r="C136" s="6" t="inlineStr">
        <is>
          <t>04/06/2026</t>
        </is>
      </c>
      <c r="D136" s="6" t="inlineStr">
        <is>
          <t>ALICATADO</t>
        </is>
      </c>
      <c r="E136" s="6" t="inlineStr">
        <is>
          <t>SALTOKI ELCHE SL.</t>
        </is>
      </c>
      <c r="F136" s="6" t="inlineStr">
        <is>
          <t>IMPUTADO</t>
        </is>
      </c>
      <c r="G136" s="4" t="n">
        <v>2752.91</v>
      </c>
    </row>
    <row r="137">
      <c r="A137" s="6" t="inlineStr">
        <is>
          <t>OBRA C/FORMENTERA, 12 (JOAQUIN)</t>
        </is>
      </c>
      <c r="B137" s="6" t="inlineStr">
        <is>
          <t>405,00</t>
        </is>
      </c>
      <c r="C137" s="6" t="inlineStr">
        <is>
          <t>11/02/2026</t>
        </is>
      </c>
      <c r="D137" s="6" t="inlineStr">
        <is>
          <t>CIMENTACIONE EXCAVACION</t>
        </is>
      </c>
      <c r="E137" s="6" t="inlineStr"/>
      <c r="F137" s="6" t="inlineStr">
        <is>
          <t>IMPUTADO</t>
        </is>
      </c>
      <c r="G137" s="4" t="n">
        <v>2718</v>
      </c>
    </row>
    <row r="138">
      <c r="A138" s="6" t="inlineStr">
        <is>
          <t>OBRA C/FORMENTERA, 12 (JOAQUIN)</t>
        </is>
      </c>
      <c r="B138" s="6" t="inlineStr">
        <is>
          <t>1.662,00</t>
        </is>
      </c>
      <c r="C138" s="6" t="inlineStr">
        <is>
          <t>05/06/2026</t>
        </is>
      </c>
      <c r="D138" s="6" t="inlineStr">
        <is>
          <t>RODAPIÉ</t>
        </is>
      </c>
      <c r="E138" s="6" t="inlineStr">
        <is>
          <t>MARMISLAB SL.</t>
        </is>
      </c>
      <c r="F138" s="6" t="inlineStr">
        <is>
          <t>IMPUTADO</t>
        </is>
      </c>
      <c r="G138" s="4" t="n">
        <v>2700</v>
      </c>
    </row>
    <row r="139">
      <c r="A139" s="6" t="inlineStr">
        <is>
          <t>OBRA C/FORMENTERA, 12 (JOAQUIN)</t>
        </is>
      </c>
      <c r="B139" s="6" t="inlineStr">
        <is>
          <t>1.803,00</t>
        </is>
      </c>
      <c r="C139" s="6" t="inlineStr">
        <is>
          <t>13/07/2026</t>
        </is>
      </c>
      <c r="D139" s="6" t="inlineStr">
        <is>
          <t>GRUA</t>
        </is>
      </c>
      <c r="E139" s="6" t="inlineStr">
        <is>
          <t>GRUAS Y MAQUINARIA PETREL SL</t>
        </is>
      </c>
      <c r="F139" s="6" t="inlineStr">
        <is>
          <t>IMPUTADO</t>
        </is>
      </c>
      <c r="G139" s="4" t="n">
        <v>2600</v>
      </c>
    </row>
    <row r="140">
      <c r="A140" s="6" t="inlineStr">
        <is>
          <t>OBRA C/FORMENTERA, 12 (JOAQUIN)</t>
        </is>
      </c>
      <c r="B140" s="6" t="inlineStr">
        <is>
          <t>322,00</t>
        </is>
      </c>
      <c r="C140" s="6" t="inlineStr">
        <is>
          <t>09/03/2026</t>
        </is>
      </c>
      <c r="D140" s="6" t="inlineStr">
        <is>
          <t>HORMIGON</t>
        </is>
      </c>
      <c r="E140" s="6" t="inlineStr"/>
      <c r="F140" s="6" t="inlineStr">
        <is>
          <t>IMPUTADO</t>
        </is>
      </c>
      <c r="G140" s="4" t="n">
        <v>2532.25</v>
      </c>
    </row>
    <row r="141">
      <c r="A141" s="6" t="inlineStr">
        <is>
          <t>OBRA C/FORMENTERA, 12 (JOAQUIN)</t>
        </is>
      </c>
      <c r="B141" s="6" t="inlineStr">
        <is>
          <t>350,00</t>
        </is>
      </c>
      <c r="C141" s="6" t="inlineStr"/>
      <c r="D141" s="6" t="inlineStr">
        <is>
          <t>MATERIAL</t>
        </is>
      </c>
      <c r="E141" s="6" t="inlineStr"/>
      <c r="F141" s="6" t="inlineStr">
        <is>
          <t>SIN IMPUTAR</t>
        </is>
      </c>
      <c r="G141" s="4" t="n">
        <v>2472.28</v>
      </c>
    </row>
    <row r="142">
      <c r="A142" s="6" t="inlineStr">
        <is>
          <t>OBRA C/FORMENTERA, 12 (JOAQUIN)</t>
        </is>
      </c>
      <c r="B142" s="6" t="inlineStr">
        <is>
          <t>356,00</t>
        </is>
      </c>
      <c r="C142" s="6" t="inlineStr"/>
      <c r="D142" s="6" t="inlineStr">
        <is>
          <t>PUNTAL TELESCOPICO</t>
        </is>
      </c>
      <c r="E142" s="6" t="inlineStr"/>
      <c r="F142" s="6" t="inlineStr">
        <is>
          <t>SIN IMPUTAR</t>
        </is>
      </c>
      <c r="G142" s="4" t="n">
        <v>2350</v>
      </c>
    </row>
    <row r="143">
      <c r="A143" s="6" t="inlineStr">
        <is>
          <t>OBRA C/FORMENTERA, 12 (JOAQUIN)</t>
        </is>
      </c>
      <c r="B143" s="6" t="inlineStr">
        <is>
          <t>491,00</t>
        </is>
      </c>
      <c r="C143" s="6" t="inlineStr">
        <is>
          <t>06/03/2026</t>
        </is>
      </c>
      <c r="D143" s="6" t="inlineStr">
        <is>
          <t>GUNITADO PISCINA</t>
        </is>
      </c>
      <c r="E143" s="6" t="inlineStr"/>
      <c r="F143" s="6" t="inlineStr">
        <is>
          <t>IMPUTADO</t>
        </is>
      </c>
      <c r="G143" s="4" t="n">
        <v>2311.5</v>
      </c>
    </row>
    <row r="144">
      <c r="A144" s="6" t="inlineStr">
        <is>
          <t>OBRA C/FORMENTERA, 12 (JOAQUIN)</t>
        </is>
      </c>
      <c r="B144" s="6" t="inlineStr">
        <is>
          <t>639,00</t>
        </is>
      </c>
      <c r="C144" s="6" t="inlineStr">
        <is>
          <t>04/03/2026</t>
        </is>
      </c>
      <c r="D144" s="6" t="inlineStr">
        <is>
          <t>MATERIAL VARIO</t>
        </is>
      </c>
      <c r="E144" s="6" t="inlineStr">
        <is>
          <t>CONSYDECOR SL</t>
        </is>
      </c>
      <c r="F144" s="6" t="inlineStr">
        <is>
          <t>IMPUTADO</t>
        </is>
      </c>
      <c r="G144" s="4" t="n">
        <v>2094.54</v>
      </c>
    </row>
    <row r="145">
      <c r="A145" s="6" t="inlineStr">
        <is>
          <t>OBRA C/FORMENTERA, 12 (JOAQUIN)</t>
        </is>
      </c>
      <c r="B145" s="6" t="inlineStr">
        <is>
          <t>1.779,00</t>
        </is>
      </c>
      <c r="C145" s="6" t="inlineStr">
        <is>
          <t>03/07/2026</t>
        </is>
      </c>
      <c r="D145" s="6" t="inlineStr">
        <is>
          <t>PLADUR</t>
        </is>
      </c>
      <c r="E145" s="6" t="inlineStr">
        <is>
          <t>SAINT GOBAIN IDAPLAC SL</t>
        </is>
      </c>
      <c r="F145" s="6" t="inlineStr">
        <is>
          <t>IMPUTADO</t>
        </is>
      </c>
      <c r="G145" s="4" t="n">
        <v>2081.11</v>
      </c>
    </row>
    <row r="146">
      <c r="A146" s="6" t="inlineStr">
        <is>
          <t>OBRA C/FORMENTERA, 12 (JOAQUIN)</t>
        </is>
      </c>
      <c r="B146" s="6" t="inlineStr">
        <is>
          <t>529,00</t>
        </is>
      </c>
      <c r="C146" s="6" t="inlineStr">
        <is>
          <t>11/02/2026</t>
        </is>
      </c>
      <c r="D146" s="6" t="inlineStr">
        <is>
          <t>MATERIAL</t>
        </is>
      </c>
      <c r="E146" s="6" t="inlineStr">
        <is>
          <t>CONSYDECOR SL</t>
        </is>
      </c>
      <c r="F146" s="6" t="inlineStr">
        <is>
          <t>IMPUTADO</t>
        </is>
      </c>
      <c r="G146" s="4" t="n">
        <v>1903.55</v>
      </c>
    </row>
    <row r="147">
      <c r="A147" s="6" t="inlineStr">
        <is>
          <t>OBRA C/FORMENTERA, 12 (JOAQUIN)</t>
        </is>
      </c>
      <c r="B147" s="6" t="inlineStr">
        <is>
          <t>1.885,00</t>
        </is>
      </c>
      <c r="C147" s="6" t="inlineStr"/>
      <c r="D147" s="6" t="inlineStr">
        <is>
          <t>RESINA GARAJE</t>
        </is>
      </c>
      <c r="E147" s="6" t="inlineStr">
        <is>
          <t>VICTOR MANUEL EGEA BARNEO</t>
        </is>
      </c>
      <c r="F147" s="6" t="inlineStr">
        <is>
          <t>SIN IMPUTAR</t>
        </is>
      </c>
      <c r="G147" s="4" t="n">
        <v>1860</v>
      </c>
    </row>
    <row r="148">
      <c r="A148" s="6" t="inlineStr">
        <is>
          <t>OBRA C/FORMENTERA, 12 (JOAQUIN)</t>
        </is>
      </c>
      <c r="B148" s="6" t="inlineStr">
        <is>
          <t>1.586,00</t>
        </is>
      </c>
      <c r="C148" s="6" t="inlineStr">
        <is>
          <t>11/06/2026</t>
        </is>
      </c>
      <c r="D148" s="6" t="inlineStr">
        <is>
          <t>MATERIAL OBRA</t>
        </is>
      </c>
      <c r="E148" s="6" t="inlineStr">
        <is>
          <t>CONSYDECOR SL</t>
        </is>
      </c>
      <c r="F148" s="6" t="inlineStr">
        <is>
          <t>IMPUTADO</t>
        </is>
      </c>
      <c r="G148" s="4" t="n">
        <v>1855.94</v>
      </c>
    </row>
    <row r="149">
      <c r="A149" s="6" t="inlineStr">
        <is>
          <t>OBRA C/FORMENTERA, 12 (JOAQUIN)</t>
        </is>
      </c>
      <c r="B149" s="6" t="inlineStr">
        <is>
          <t>630,00</t>
        </is>
      </c>
      <c r="C149" s="6" t="inlineStr">
        <is>
          <t>24/02/2026</t>
        </is>
      </c>
      <c r="D149" s="6" t="inlineStr">
        <is>
          <t>YTONG</t>
        </is>
      </c>
      <c r="E149" s="6" t="inlineStr">
        <is>
          <t>CONSYDECOR SL</t>
        </is>
      </c>
      <c r="F149" s="6" t="inlineStr">
        <is>
          <t>IMPUTADO</t>
        </is>
      </c>
      <c r="G149" s="4" t="n">
        <v>1855</v>
      </c>
    </row>
    <row r="150">
      <c r="A150" s="6" t="inlineStr">
        <is>
          <t>OBRA C/FORMENTERA, 12 (JOAQUIN)</t>
        </is>
      </c>
      <c r="B150" s="6" t="inlineStr">
        <is>
          <t>343,00</t>
        </is>
      </c>
      <c r="C150" s="6" t="inlineStr"/>
      <c r="D150" s="6" t="inlineStr">
        <is>
          <t>GRUA</t>
        </is>
      </c>
      <c r="E150" s="6" t="inlineStr">
        <is>
          <t>GRUAS Y MAQUINARIA PETREL SL</t>
        </is>
      </c>
      <c r="F150" s="6" t="inlineStr">
        <is>
          <t>SIN IMPUTAR</t>
        </is>
      </c>
      <c r="G150" s="4" t="n">
        <v>1855</v>
      </c>
    </row>
    <row r="151">
      <c r="A151" s="6" t="inlineStr">
        <is>
          <t>OBRA C/FORMENTERA, 12 (JOAQUIN)</t>
        </is>
      </c>
      <c r="B151" s="6" t="inlineStr">
        <is>
          <t>373,00</t>
        </is>
      </c>
      <c r="C151" s="6" t="inlineStr">
        <is>
          <t>25/02/2026</t>
        </is>
      </c>
      <c r="D151" s="6" t="inlineStr">
        <is>
          <t>HORAS MÁQUINAS</t>
        </is>
      </c>
      <c r="E151" s="6" t="inlineStr"/>
      <c r="F151" s="6" t="inlineStr">
        <is>
          <t>IMPUTADO</t>
        </is>
      </c>
      <c r="G151" s="4" t="n">
        <v>1720</v>
      </c>
    </row>
    <row r="152">
      <c r="A152" s="6" t="inlineStr">
        <is>
          <t>OBRA C/FORMENTERA, 12 (JOAQUIN)</t>
        </is>
      </c>
      <c r="B152" s="6" t="inlineStr">
        <is>
          <t>327,00</t>
        </is>
      </c>
      <c r="C152" s="6" t="inlineStr"/>
      <c r="D152" s="6" t="inlineStr">
        <is>
          <t>GRUA</t>
        </is>
      </c>
      <c r="E152" s="6" t="inlineStr"/>
      <c r="F152" s="6" t="inlineStr">
        <is>
          <t>SIN IMPUTAR</t>
        </is>
      </c>
      <c r="G152" s="4" t="n">
        <v>1715</v>
      </c>
    </row>
    <row r="153">
      <c r="A153" s="6" t="inlineStr">
        <is>
          <t>OBRA C/FORMENTERA, 12 (JOAQUIN)</t>
        </is>
      </c>
      <c r="B153" s="6" t="inlineStr">
        <is>
          <t>380,00</t>
        </is>
      </c>
      <c r="C153" s="6" t="inlineStr">
        <is>
          <t>25/02/2026</t>
        </is>
      </c>
      <c r="D153" s="6" t="inlineStr">
        <is>
          <t>HIERRO CIMENTACIÓN</t>
        </is>
      </c>
      <c r="E153" s="6" t="inlineStr"/>
      <c r="F153" s="6" t="inlineStr">
        <is>
          <t>IMPUTADO</t>
        </is>
      </c>
      <c r="G153" s="4" t="n">
        <v>1646.28</v>
      </c>
    </row>
    <row r="154">
      <c r="A154" s="6" t="inlineStr">
        <is>
          <t>OBRA C/FORMENTERA, 12 (JOAQUIN)</t>
        </is>
      </c>
      <c r="B154" s="6" t="inlineStr">
        <is>
          <t>423,00</t>
        </is>
      </c>
      <c r="C154" s="6" t="inlineStr">
        <is>
          <t>24/02/2026</t>
        </is>
      </c>
      <c r="D154" s="6" t="inlineStr">
        <is>
          <t>EXCAVACIÓN CIMENTACION</t>
        </is>
      </c>
      <c r="E154" s="6" t="inlineStr"/>
      <c r="F154" s="6" t="inlineStr">
        <is>
          <t>IMPUTADO</t>
        </is>
      </c>
      <c r="G154" s="4" t="n">
        <v>1515</v>
      </c>
    </row>
    <row r="155">
      <c r="A155" s="6" t="inlineStr">
        <is>
          <t>OBRA C/FORMENTERA, 12 (JOAQUIN)</t>
        </is>
      </c>
      <c r="B155" s="6" t="inlineStr">
        <is>
          <t>1.732,00</t>
        </is>
      </c>
      <c r="C155" s="6" t="inlineStr">
        <is>
          <t>10/07/2026</t>
        </is>
      </c>
      <c r="D155" s="6" t="inlineStr">
        <is>
          <t>MATERIAL OBRA</t>
        </is>
      </c>
      <c r="E155" s="6" t="inlineStr">
        <is>
          <t>CONSYDECOR SL</t>
        </is>
      </c>
      <c r="F155" s="6" t="inlineStr">
        <is>
          <t>IMPUTADO</t>
        </is>
      </c>
      <c r="G155" s="4" t="n">
        <v>1511.37</v>
      </c>
    </row>
    <row r="156">
      <c r="A156" s="6" t="inlineStr">
        <is>
          <t>OBRA C/FORMENTERA, 12 (JOAQUIN)</t>
        </is>
      </c>
      <c r="B156" s="6" t="inlineStr">
        <is>
          <t>1.777,00</t>
        </is>
      </c>
      <c r="C156" s="6" t="inlineStr">
        <is>
          <t>03/07/2026</t>
        </is>
      </c>
      <c r="D156" s="6" t="inlineStr">
        <is>
          <t>PLADUR</t>
        </is>
      </c>
      <c r="E156" s="6" t="inlineStr">
        <is>
          <t>SAINT GOBAIN IDAPLAC SL</t>
        </is>
      </c>
      <c r="F156" s="6" t="inlineStr">
        <is>
          <t>IMPUTADO</t>
        </is>
      </c>
      <c r="G156" s="4" t="n">
        <v>1494.86</v>
      </c>
    </row>
    <row r="157">
      <c r="A157" s="6" t="inlineStr">
        <is>
          <t>OBRA C/FORMENTERA, 12 (JOAQUIN)</t>
        </is>
      </c>
      <c r="B157" s="6" t="inlineStr">
        <is>
          <t>330,00</t>
        </is>
      </c>
      <c r="C157" s="6" t="inlineStr"/>
      <c r="D157" s="6" t="inlineStr">
        <is>
          <t>FERRALA PISCINA</t>
        </is>
      </c>
      <c r="E157" s="6" t="inlineStr"/>
      <c r="F157" s="6" t="inlineStr">
        <is>
          <t>SIN IMPUTAR</t>
        </is>
      </c>
      <c r="G157" s="4" t="n">
        <v>1468.5</v>
      </c>
    </row>
    <row r="158">
      <c r="A158" s="6" t="inlineStr">
        <is>
          <t>OBRA C/FORMENTERA, 12 (JOAQUIN)</t>
        </is>
      </c>
      <c r="B158" s="6" t="inlineStr">
        <is>
          <t>502,00</t>
        </is>
      </c>
      <c r="C158" s="6" t="inlineStr">
        <is>
          <t>24/02/2026</t>
        </is>
      </c>
      <c r="D158" s="6" t="inlineStr">
        <is>
          <t>HORMIGON</t>
        </is>
      </c>
      <c r="E158" s="6" t="inlineStr"/>
      <c r="F158" s="6" t="inlineStr">
        <is>
          <t>IMPUTADO</t>
        </is>
      </c>
      <c r="G158" s="4" t="n">
        <v>1426.25</v>
      </c>
    </row>
    <row r="159">
      <c r="A159" s="6" t="inlineStr">
        <is>
          <t>OBRA C/FORMENTERA, 12 (JOAQUIN)</t>
        </is>
      </c>
      <c r="B159" s="6" t="inlineStr">
        <is>
          <t>420,00</t>
        </is>
      </c>
      <c r="C159" s="6" t="inlineStr">
        <is>
          <t>06/03/2026</t>
        </is>
      </c>
      <c r="D159" s="6" t="inlineStr">
        <is>
          <t>FENOLICO FILM FACED ABEDUL</t>
        </is>
      </c>
      <c r="E159" s="6" t="inlineStr"/>
      <c r="F159" s="6" t="inlineStr">
        <is>
          <t>IMPUTADO</t>
        </is>
      </c>
      <c r="G159" s="4" t="n">
        <v>1406.25</v>
      </c>
    </row>
    <row r="160">
      <c r="A160" s="6" t="inlineStr">
        <is>
          <t>OBRA C/FORMENTERA, 12 (JOAQUIN)</t>
        </is>
      </c>
      <c r="B160" s="6" t="inlineStr">
        <is>
          <t>1.834,00</t>
        </is>
      </c>
      <c r="C160" s="6" t="inlineStr">
        <is>
          <t>26/08/2026</t>
        </is>
      </c>
      <c r="D160" s="6" t="inlineStr">
        <is>
          <t>MAMPARA DE DUCHA CON FIJO Y PERFIL</t>
        </is>
      </c>
      <c r="E160" s="6" t="inlineStr">
        <is>
          <t>ALEJANDRO CUTILLAS CAÑABATE</t>
        </is>
      </c>
      <c r="F160" s="6" t="inlineStr">
        <is>
          <t>IMPUTADO</t>
        </is>
      </c>
      <c r="G160" s="4" t="n">
        <v>1377.1</v>
      </c>
    </row>
    <row r="161">
      <c r="A161" s="6" t="inlineStr">
        <is>
          <t>OBRA C/FORMENTERA, 12 (JOAQUIN)</t>
        </is>
      </c>
      <c r="B161" s="6" t="inlineStr">
        <is>
          <t>1.489,00</t>
        </is>
      </c>
      <c r="C161" s="6" t="inlineStr">
        <is>
          <t>28/04/2026</t>
        </is>
      </c>
      <c r="D161" s="6" t="inlineStr">
        <is>
          <t>MATERIAL OBRA #albañileria</t>
        </is>
      </c>
      <c r="E161" s="6" t="inlineStr">
        <is>
          <t>CONSYDECOR SL</t>
        </is>
      </c>
      <c r="F161" s="6" t="inlineStr">
        <is>
          <t>IMPUTADO</t>
        </is>
      </c>
      <c r="G161" s="4" t="n">
        <v>1288.51</v>
      </c>
    </row>
    <row r="162">
      <c r="A162" s="6" t="inlineStr">
        <is>
          <t>OBRA C/FORMENTERA, 12 (JOAQUIN)</t>
        </is>
      </c>
      <c r="B162" s="6" t="inlineStr">
        <is>
          <t>475,00</t>
        </is>
      </c>
      <c r="C162" s="6" t="inlineStr">
        <is>
          <t>06/03/2026</t>
        </is>
      </c>
      <c r="D162" s="6" t="inlineStr">
        <is>
          <t>MATERIAL OBRA</t>
        </is>
      </c>
      <c r="E162" s="6" t="inlineStr">
        <is>
          <t>EDI CHRISTIAN PALACIOS</t>
        </is>
      </c>
      <c r="F162" s="6" t="inlineStr">
        <is>
          <t>IMPUTADO</t>
        </is>
      </c>
      <c r="G162" s="4" t="n">
        <v>1283.51</v>
      </c>
    </row>
    <row r="163">
      <c r="A163" s="6" t="inlineStr">
        <is>
          <t>OBRA C/FORMENTERA, 12 (JOAQUIN)</t>
        </is>
      </c>
      <c r="B163" s="6" t="inlineStr">
        <is>
          <t>1.838,00</t>
        </is>
      </c>
      <c r="C163" s="6" t="inlineStr">
        <is>
          <t>24/07/2026</t>
        </is>
      </c>
      <c r="D163" s="6" t="inlineStr">
        <is>
          <t>PINTURA</t>
        </is>
      </c>
      <c r="E163" s="6" t="inlineStr">
        <is>
          <t>SANZ BUILDING 2000 SL</t>
        </is>
      </c>
      <c r="F163" s="6" t="inlineStr">
        <is>
          <t>IMPUTADO</t>
        </is>
      </c>
      <c r="G163" s="4" t="n">
        <v>1280.09</v>
      </c>
    </row>
    <row r="164">
      <c r="A164" s="6" t="inlineStr">
        <is>
          <t>OBRA C/FORMENTERA, 12 (JOAQUIN)</t>
        </is>
      </c>
      <c r="B164" s="6" t="inlineStr">
        <is>
          <t>325,00</t>
        </is>
      </c>
      <c r="C164" s="6" t="inlineStr"/>
      <c r="D164" s="6" t="inlineStr">
        <is>
          <t>LIMPIEZA TERRENO</t>
        </is>
      </c>
      <c r="E164" s="6" t="inlineStr"/>
      <c r="F164" s="6" t="inlineStr">
        <is>
          <t>SIN IMPUTAR</t>
        </is>
      </c>
      <c r="G164" s="4" t="n">
        <v>1225</v>
      </c>
    </row>
    <row r="165">
      <c r="A165" s="6" t="inlineStr">
        <is>
          <t>OBRA C/FORMENTERA, 12 (JOAQUIN)</t>
        </is>
      </c>
      <c r="B165" s="6" t="inlineStr">
        <is>
          <t>501,00</t>
        </is>
      </c>
      <c r="C165" s="6" t="inlineStr">
        <is>
          <t>04/03/2026</t>
        </is>
      </c>
      <c r="D165" s="6" t="inlineStr">
        <is>
          <t>MATERIAL</t>
        </is>
      </c>
      <c r="E165" s="6" t="inlineStr">
        <is>
          <t>CONSYDECOR SL</t>
        </is>
      </c>
      <c r="F165" s="6" t="inlineStr">
        <is>
          <t>IMPUTADO</t>
        </is>
      </c>
      <c r="G165" s="4" t="n">
        <v>1220.39</v>
      </c>
    </row>
    <row r="166">
      <c r="A166" s="6" t="inlineStr">
        <is>
          <t>OBRA C/FORMENTERA, 12 (JOAQUIN)</t>
        </is>
      </c>
      <c r="B166" s="6" t="inlineStr">
        <is>
          <t>390,00</t>
        </is>
      </c>
      <c r="C166" s="6" t="inlineStr"/>
      <c r="D166" s="6" t="inlineStr">
        <is>
          <t>SERVICIO GRUA</t>
        </is>
      </c>
      <c r="E166" s="6" t="inlineStr"/>
      <c r="F166" s="6" t="inlineStr">
        <is>
          <t>SIN IMPUTAR</t>
        </is>
      </c>
      <c r="G166" s="4" t="n">
        <v>1120</v>
      </c>
    </row>
    <row r="167">
      <c r="A167" s="6" t="inlineStr">
        <is>
          <t>OBRA C/FORMENTERA, 12 (JOAQUIN)</t>
        </is>
      </c>
      <c r="B167" s="6" t="inlineStr">
        <is>
          <t>1.824,00</t>
        </is>
      </c>
      <c r="C167" s="6" t="inlineStr">
        <is>
          <t>21/07/2026</t>
        </is>
      </c>
      <c r="D167" s="6" t="inlineStr">
        <is>
          <t>VALLA PARCELA</t>
        </is>
      </c>
      <c r="E167" s="6" t="inlineStr">
        <is>
          <t>MIRETE MALLAS METALICAS SA</t>
        </is>
      </c>
      <c r="F167" s="6" t="inlineStr">
        <is>
          <t>IMPUTADO</t>
        </is>
      </c>
      <c r="G167" s="4" t="n">
        <v>1101.6</v>
      </c>
    </row>
    <row r="168">
      <c r="A168" s="6" t="inlineStr">
        <is>
          <t>OBRA C/FORMENTERA, 12 (JOAQUIN)</t>
        </is>
      </c>
      <c r="B168" s="6" t="inlineStr">
        <is>
          <t>351,00</t>
        </is>
      </c>
      <c r="C168" s="6" t="inlineStr"/>
      <c r="D168" s="6" t="inlineStr">
        <is>
          <t>HORAS Y PORTES</t>
        </is>
      </c>
      <c r="E168" s="6" t="inlineStr"/>
      <c r="F168" s="6" t="inlineStr">
        <is>
          <t>SIN IMPUTAR</t>
        </is>
      </c>
      <c r="G168" s="4" t="n">
        <v>1083</v>
      </c>
    </row>
    <row r="169">
      <c r="A169" s="6" t="inlineStr">
        <is>
          <t>OBRA C/FORMENTERA, 12 (JOAQUIN)</t>
        </is>
      </c>
      <c r="B169" s="6" t="inlineStr">
        <is>
          <t>530,00</t>
        </is>
      </c>
      <c r="C169" s="6" t="inlineStr">
        <is>
          <t>11/02/2026</t>
        </is>
      </c>
      <c r="D169" s="6" t="inlineStr">
        <is>
          <t>MATERIAL OBRA</t>
        </is>
      </c>
      <c r="E169" s="6" t="inlineStr">
        <is>
          <t>CONSYDECOR SL</t>
        </is>
      </c>
      <c r="F169" s="6" t="inlineStr">
        <is>
          <t>IMPUTADO</t>
        </is>
      </c>
      <c r="G169" s="4" t="n">
        <v>955.41</v>
      </c>
    </row>
    <row r="170">
      <c r="A170" s="6" t="inlineStr">
        <is>
          <t>OBRA C/FORMENTERA, 12 (JOAQUIN)</t>
        </is>
      </c>
      <c r="B170" s="6" t="inlineStr">
        <is>
          <t>407,00</t>
        </is>
      </c>
      <c r="C170" s="6" t="inlineStr">
        <is>
          <t>06/03/2026</t>
        </is>
      </c>
      <c r="D170" s="6" t="inlineStr">
        <is>
          <t>GRUA</t>
        </is>
      </c>
      <c r="E170" s="6" t="inlineStr">
        <is>
          <t>GRUAS Y MAQUINARIA PETREL SL</t>
        </is>
      </c>
      <c r="F170" s="6" t="inlineStr">
        <is>
          <t>IMPUTADO</t>
        </is>
      </c>
      <c r="G170" s="4" t="n">
        <v>910</v>
      </c>
    </row>
    <row r="171">
      <c r="A171" s="6" t="inlineStr">
        <is>
          <t>OBRA C/FORMENTERA, 12 (JOAQUIN)</t>
        </is>
      </c>
      <c r="B171" s="6" t="inlineStr">
        <is>
          <t>1.729,00</t>
        </is>
      </c>
      <c r="C171" s="6" t="inlineStr">
        <is>
          <t>18/06/2026</t>
        </is>
      </c>
      <c r="D171" s="6" t="inlineStr">
        <is>
          <t>TABLERO FENÓLICO</t>
        </is>
      </c>
      <c r="E171" s="6" t="inlineStr">
        <is>
          <t>SIDO MADERA SL</t>
        </is>
      </c>
      <c r="F171" s="6" t="inlineStr">
        <is>
          <t>IMPUTADO</t>
        </is>
      </c>
      <c r="G171" s="4" t="n">
        <v>903.25</v>
      </c>
    </row>
    <row r="172">
      <c r="A172" s="6" t="inlineStr">
        <is>
          <t>OBRA C/FORMENTERA, 12 (JOAQUIN)</t>
        </is>
      </c>
      <c r="B172" s="6" t="inlineStr">
        <is>
          <t>318,00</t>
        </is>
      </c>
      <c r="C172" s="6" t="inlineStr"/>
      <c r="D172" s="6" t="inlineStr">
        <is>
          <t>GRUA</t>
        </is>
      </c>
      <c r="E172" s="6" t="inlineStr"/>
      <c r="F172" s="6" t="inlineStr">
        <is>
          <t>SIN IMPUTAR</t>
        </is>
      </c>
      <c r="G172" s="4" t="n">
        <v>840</v>
      </c>
    </row>
    <row r="173">
      <c r="A173" s="6" t="inlineStr">
        <is>
          <t>OBRA C/FORMENTERA, 12 (JOAQUIN)</t>
        </is>
      </c>
      <c r="B173" s="6" t="inlineStr">
        <is>
          <t>492,00</t>
        </is>
      </c>
      <c r="C173" s="6" t="inlineStr">
        <is>
          <t>24/02/2026</t>
        </is>
      </c>
      <c r="D173" s="6" t="inlineStr">
        <is>
          <t>GRUA</t>
        </is>
      </c>
      <c r="E173" s="6" t="inlineStr">
        <is>
          <t>GRUAS Y MAQUINARIA PETREL SL</t>
        </is>
      </c>
      <c r="F173" s="6" t="inlineStr">
        <is>
          <t>IMPUTADO</t>
        </is>
      </c>
      <c r="G173" s="4" t="n">
        <v>825</v>
      </c>
    </row>
    <row r="174">
      <c r="A174" s="6" t="inlineStr">
        <is>
          <t>OBRA C/FORMENTERA, 12 (JOAQUIN)</t>
        </is>
      </c>
      <c r="B174" s="6" t="inlineStr">
        <is>
          <t>532,00</t>
        </is>
      </c>
      <c r="C174" s="6" t="inlineStr">
        <is>
          <t>11/02/2026</t>
        </is>
      </c>
      <c r="D174" s="6" t="inlineStr">
        <is>
          <t>MATERIAL</t>
        </is>
      </c>
      <c r="E174" s="6" t="inlineStr">
        <is>
          <t>CONSYDECOR SL</t>
        </is>
      </c>
      <c r="F174" s="6" t="inlineStr">
        <is>
          <t>IMPUTADO</t>
        </is>
      </c>
      <c r="G174" s="4" t="n">
        <v>822.11</v>
      </c>
    </row>
    <row r="175">
      <c r="A175" s="6" t="inlineStr">
        <is>
          <t>OBRA C/FORMENTERA, 12 (JOAQUIN)</t>
        </is>
      </c>
      <c r="B175" s="6" t="inlineStr">
        <is>
          <t>315,00</t>
        </is>
      </c>
      <c r="C175" s="6" t="inlineStr"/>
      <c r="D175" s="6" t="inlineStr">
        <is>
          <t>SACA CANTO RODADO</t>
        </is>
      </c>
      <c r="E175" s="6" t="inlineStr"/>
      <c r="F175" s="6" t="inlineStr">
        <is>
          <t>SIN IMPUTAR</t>
        </is>
      </c>
      <c r="G175" s="4" t="n">
        <v>815</v>
      </c>
    </row>
    <row r="176">
      <c r="A176" s="6" t="inlineStr">
        <is>
          <t>OBRA C/FORMENTERA, 12 (JOAQUIN)</t>
        </is>
      </c>
      <c r="B176" s="6" t="inlineStr">
        <is>
          <t>1.735,00</t>
        </is>
      </c>
      <c r="C176" s="6" t="inlineStr">
        <is>
          <t>10/07/2026</t>
        </is>
      </c>
      <c r="D176" s="6" t="inlineStr">
        <is>
          <t>HACER CONEXIÓN DESAGÜE</t>
        </is>
      </c>
      <c r="E176" s="6" t="inlineStr">
        <is>
          <t>CONTENEDORES Y EXCAVACIONES ASPE SL.</t>
        </is>
      </c>
      <c r="F176" s="6" t="inlineStr">
        <is>
          <t>IMPUTADO</t>
        </is>
      </c>
      <c r="G176" s="4" t="n">
        <v>804</v>
      </c>
    </row>
    <row r="177">
      <c r="A177" s="6" t="inlineStr">
        <is>
          <t>OBRA C/FORMENTERA, 12 (JOAQUIN)</t>
        </is>
      </c>
      <c r="B177" s="6" t="inlineStr">
        <is>
          <t>1.656,00</t>
        </is>
      </c>
      <c r="C177" s="6" t="inlineStr">
        <is>
          <t>11/06/2026</t>
        </is>
      </c>
      <c r="D177" s="6" t="inlineStr">
        <is>
          <t>REJILLA OCULTA</t>
        </is>
      </c>
      <c r="E177" s="6" t="inlineStr">
        <is>
          <t>SALTOKI ALICANTE SL.</t>
        </is>
      </c>
      <c r="F177" s="6" t="inlineStr">
        <is>
          <t>IMPUTADO</t>
        </is>
      </c>
      <c r="G177" s="4" t="n">
        <v>789.2</v>
      </c>
    </row>
    <row r="178">
      <c r="A178" s="6" t="inlineStr">
        <is>
          <t>OBRA C/FORMENTERA, 12 (JOAQUIN)</t>
        </is>
      </c>
      <c r="B178" s="6" t="inlineStr">
        <is>
          <t>1.740,00</t>
        </is>
      </c>
      <c r="C178" s="6" t="inlineStr">
        <is>
          <t>23/06/2026</t>
        </is>
      </c>
      <c r="D178" s="6" t="inlineStr">
        <is>
          <t>PLADUR EXTERIOR</t>
        </is>
      </c>
      <c r="E178" s="6" t="inlineStr">
        <is>
          <t>SAINT GOBAIN IDAPLAC SL</t>
        </is>
      </c>
      <c r="F178" s="6" t="inlineStr">
        <is>
          <t>IMPUTADO</t>
        </is>
      </c>
      <c r="G178" s="4" t="n">
        <v>777.16</v>
      </c>
    </row>
    <row r="179">
      <c r="A179" s="6" t="inlineStr">
        <is>
          <t>OBRA C/FORMENTERA, 12 (JOAQUIN)</t>
        </is>
      </c>
      <c r="B179" s="6" t="inlineStr">
        <is>
          <t>400,00</t>
        </is>
      </c>
      <c r="C179" s="6" t="inlineStr">
        <is>
          <t>11/02/2026</t>
        </is>
      </c>
      <c r="D179" s="6" t="inlineStr">
        <is>
          <t>HORMIGON LIMPIEZA</t>
        </is>
      </c>
      <c r="E179" s="6" t="inlineStr"/>
      <c r="F179" s="6" t="inlineStr">
        <is>
          <t>IMPUTADO</t>
        </is>
      </c>
      <c r="G179" s="4" t="n">
        <v>755</v>
      </c>
    </row>
    <row r="180">
      <c r="A180" s="6" t="inlineStr">
        <is>
          <t>OBRA C/FORMENTERA, 12 (JOAQUIN)</t>
        </is>
      </c>
      <c r="B180" s="6" t="inlineStr">
        <is>
          <t>517,00</t>
        </is>
      </c>
      <c r="C180" s="6" t="inlineStr">
        <is>
          <t>24/02/2026</t>
        </is>
      </c>
      <c r="D180" s="6" t="inlineStr">
        <is>
          <t>MATERIAL OBRA</t>
        </is>
      </c>
      <c r="E180" s="6" t="inlineStr">
        <is>
          <t>CONSYDECOR SL</t>
        </is>
      </c>
      <c r="F180" s="6" t="inlineStr">
        <is>
          <t>IMPUTADO</t>
        </is>
      </c>
      <c r="G180" s="4" t="n">
        <v>753.55</v>
      </c>
    </row>
    <row r="181">
      <c r="A181" s="6" t="inlineStr">
        <is>
          <t>OBRA C/FORMENTERA, 12 (JOAQUIN)</t>
        </is>
      </c>
      <c r="B181" s="6" t="inlineStr">
        <is>
          <t>1.275,00</t>
        </is>
      </c>
      <c r="C181" s="6" t="inlineStr">
        <is>
          <t>28/04/2026</t>
        </is>
      </c>
      <c r="D181" s="6" t="inlineStr">
        <is>
          <t>GRIFERÍA</t>
        </is>
      </c>
      <c r="E181" s="6" t="inlineStr">
        <is>
          <t>SALTOKI ELCHE SL.</t>
        </is>
      </c>
      <c r="F181" s="6" t="inlineStr">
        <is>
          <t>IMPUTADO</t>
        </is>
      </c>
      <c r="G181" s="4" t="n">
        <v>744.39</v>
      </c>
    </row>
    <row r="182">
      <c r="A182" s="6" t="inlineStr">
        <is>
          <t>OBRA C/FORMENTERA, 12 (JOAQUIN)</t>
        </is>
      </c>
      <c r="B182" s="6" t="inlineStr">
        <is>
          <t>1.206,00</t>
        </is>
      </c>
      <c r="C182" s="6" t="inlineStr">
        <is>
          <t>02/04/2026</t>
        </is>
      </c>
      <c r="D182" s="6" t="inlineStr">
        <is>
          <t>TUBO HIERRRO GALVANIZADO #revestimiento voladizo</t>
        </is>
      </c>
      <c r="E182" s="6" t="inlineStr">
        <is>
          <t>ALEJANDRO CUTILLAS CAÑABATE</t>
        </is>
      </c>
      <c r="F182" s="6" t="inlineStr">
        <is>
          <t>IMPUTADO</t>
        </is>
      </c>
      <c r="G182" s="4" t="n">
        <v>741.9299999999999</v>
      </c>
    </row>
    <row r="183">
      <c r="A183" s="6" t="inlineStr">
        <is>
          <t>OBRA C/FORMENTERA, 12 (JOAQUIN)</t>
        </is>
      </c>
      <c r="B183" s="6" t="inlineStr">
        <is>
          <t>336,00</t>
        </is>
      </c>
      <c r="C183" s="6" t="inlineStr"/>
      <c r="D183" s="6" t="inlineStr">
        <is>
          <t>HORMIGON</t>
        </is>
      </c>
      <c r="E183" s="6" t="inlineStr"/>
      <c r="F183" s="6" t="inlineStr">
        <is>
          <t>SIN IMPUTAR</t>
        </is>
      </c>
      <c r="G183" s="4" t="n">
        <v>720.75</v>
      </c>
    </row>
    <row r="184">
      <c r="A184" s="6" t="inlineStr">
        <is>
          <t>OBRA C/FORMENTERA, 12 (JOAQUIN)</t>
        </is>
      </c>
      <c r="B184" s="6" t="inlineStr">
        <is>
          <t>822,00</t>
        </is>
      </c>
      <c r="C184" s="6" t="inlineStr">
        <is>
          <t>24/02/2026</t>
        </is>
      </c>
      <c r="D184" s="6" t="inlineStr">
        <is>
          <t>GRUA #MAQUINARIA</t>
        </is>
      </c>
      <c r="E184" s="6" t="inlineStr">
        <is>
          <t>GRUAS Y MAQUINARIA PETREL SL</t>
        </is>
      </c>
      <c r="F184" s="6" t="inlineStr">
        <is>
          <t>IMPUTADO</t>
        </is>
      </c>
      <c r="G184" s="4" t="n">
        <v>690</v>
      </c>
    </row>
    <row r="185">
      <c r="A185" s="6" t="inlineStr">
        <is>
          <t>OBRA C/FORMENTERA, 12 (JOAQUIN)</t>
        </is>
      </c>
      <c r="B185" s="6" t="inlineStr">
        <is>
          <t>308,00</t>
        </is>
      </c>
      <c r="C185" s="6" t="inlineStr">
        <is>
          <t>06/03/2026</t>
        </is>
      </c>
      <c r="D185" s="6" t="inlineStr">
        <is>
          <t>RETIRADA RESIDUOS</t>
        </is>
      </c>
      <c r="E185" s="6" t="inlineStr"/>
      <c r="F185" s="6" t="inlineStr">
        <is>
          <t>IMPUTADO</t>
        </is>
      </c>
      <c r="G185" s="4" t="n">
        <v>690</v>
      </c>
    </row>
    <row r="186">
      <c r="A186" s="6" t="inlineStr">
        <is>
          <t>OBRA C/FORMENTERA, 12 (JOAQUIN)</t>
        </is>
      </c>
      <c r="B186" s="6" t="inlineStr">
        <is>
          <t>342,00</t>
        </is>
      </c>
      <c r="C186" s="6" t="inlineStr"/>
      <c r="D186" s="6" t="inlineStr">
        <is>
          <t>BOMBEO</t>
        </is>
      </c>
      <c r="E186" s="6" t="inlineStr"/>
      <c r="F186" s="6" t="inlineStr">
        <is>
          <t>SIN IMPUTAR</t>
        </is>
      </c>
      <c r="G186" s="4" t="n">
        <v>653.4</v>
      </c>
    </row>
    <row r="187">
      <c r="A187" s="6" t="inlineStr">
        <is>
          <t>OBRA C/FORMENTERA, 12 (JOAQUIN)</t>
        </is>
      </c>
      <c r="B187" s="6" t="inlineStr">
        <is>
          <t>1.881,00</t>
        </is>
      </c>
      <c r="C187" s="6" t="inlineStr">
        <is>
          <t>26/08/2026</t>
        </is>
      </c>
      <c r="D187" s="6" t="inlineStr">
        <is>
          <t>GRUA</t>
        </is>
      </c>
      <c r="E187" s="6" t="inlineStr">
        <is>
          <t>GRUAS Y MAQUINARIA PETREL SL</t>
        </is>
      </c>
      <c r="F187" s="6" t="inlineStr">
        <is>
          <t>IMPUTADO</t>
        </is>
      </c>
      <c r="G187" s="4" t="n">
        <v>650</v>
      </c>
    </row>
    <row r="188">
      <c r="A188" s="6" t="inlineStr">
        <is>
          <t>OBRA C/FORMENTERA, 12 (JOAQUIN)</t>
        </is>
      </c>
      <c r="B188" s="6" t="inlineStr">
        <is>
          <t>507,00</t>
        </is>
      </c>
      <c r="C188" s="6" t="inlineStr">
        <is>
          <t>24/02/2026</t>
        </is>
      </c>
      <c r="D188" s="6" t="inlineStr">
        <is>
          <t>GRUA</t>
        </is>
      </c>
      <c r="E188" s="6" t="inlineStr">
        <is>
          <t>GRUAS Y MAQUINARIA PETREL SL</t>
        </is>
      </c>
      <c r="F188" s="6" t="inlineStr">
        <is>
          <t>IMPUTADO</t>
        </is>
      </c>
      <c r="G188" s="4" t="n">
        <v>632.5</v>
      </c>
    </row>
    <row r="189">
      <c r="A189" s="6" t="inlineStr">
        <is>
          <t>OBRA C/FORMENTERA, 12 (JOAQUIN)</t>
        </is>
      </c>
      <c r="B189" s="6" t="inlineStr">
        <is>
          <t>1.886,00</t>
        </is>
      </c>
      <c r="C189" s="6" t="inlineStr">
        <is>
          <t>31/08/2026</t>
        </is>
      </c>
      <c r="D189" s="6" t="inlineStr">
        <is>
          <t>WEBER FACHADA</t>
        </is>
      </c>
      <c r="E189" s="6" t="inlineStr">
        <is>
          <t>SAINT GOBAIN IDAPLAC SL</t>
        </is>
      </c>
      <c r="F189" s="6" t="inlineStr">
        <is>
          <t>IMPUTADO</t>
        </is>
      </c>
      <c r="G189" s="4" t="n">
        <v>625.24</v>
      </c>
    </row>
    <row r="190">
      <c r="A190" s="6" t="inlineStr">
        <is>
          <t>OBRA C/FORMENTERA, 12 (JOAQUIN)</t>
        </is>
      </c>
      <c r="B190" s="6" t="inlineStr">
        <is>
          <t>1.604,00</t>
        </is>
      </c>
      <c r="C190" s="6" t="inlineStr">
        <is>
          <t>11/06/2026</t>
        </is>
      </c>
      <c r="D190" s="6" t="inlineStr">
        <is>
          <t>CEMENTO/PERFIL/ARQUETA/ESPUMA</t>
        </is>
      </c>
      <c r="E190" s="6" t="inlineStr">
        <is>
          <t>CONSYDECOR SL</t>
        </is>
      </c>
      <c r="F190" s="6" t="inlineStr">
        <is>
          <t>IMPUTADO</t>
        </is>
      </c>
      <c r="G190" s="4" t="n">
        <v>620.23</v>
      </c>
    </row>
    <row r="191">
      <c r="A191" s="6" t="inlineStr">
        <is>
          <t>OBRA C/FORMENTERA, 12 (JOAQUIN)</t>
        </is>
      </c>
      <c r="B191" s="6" t="inlineStr">
        <is>
          <t>347,00</t>
        </is>
      </c>
      <c r="C191" s="6" t="inlineStr"/>
      <c r="D191" s="6" t="inlineStr">
        <is>
          <t>CASETON</t>
        </is>
      </c>
      <c r="E191" s="6" t="inlineStr"/>
      <c r="F191" s="6" t="inlineStr">
        <is>
          <t>SIN IMPUTAR</t>
        </is>
      </c>
      <c r="G191" s="4" t="n">
        <v>605.5</v>
      </c>
    </row>
    <row r="192">
      <c r="A192" s="6" t="inlineStr">
        <is>
          <t>OBRA C/FORMENTERA, 12 (JOAQUIN)</t>
        </is>
      </c>
      <c r="B192" s="6" t="inlineStr">
        <is>
          <t>307,00</t>
        </is>
      </c>
      <c r="C192" s="6" t="inlineStr"/>
      <c r="D192" s="6" t="inlineStr">
        <is>
          <t>VIGA Y ÁNGULO</t>
        </is>
      </c>
      <c r="E192" s="6" t="inlineStr"/>
      <c r="F192" s="6" t="inlineStr">
        <is>
          <t>SIN IMPUTAR</t>
        </is>
      </c>
      <c r="G192" s="4" t="n">
        <v>601.5</v>
      </c>
    </row>
    <row r="193">
      <c r="A193" s="6" t="inlineStr">
        <is>
          <t>OBRA C/FORMENTERA, 12 (JOAQUIN)</t>
        </is>
      </c>
      <c r="B193" s="6" t="inlineStr">
        <is>
          <t>388,00</t>
        </is>
      </c>
      <c r="C193" s="6" t="inlineStr">
        <is>
          <t>25/02/2026</t>
        </is>
      </c>
      <c r="D193" s="6" t="inlineStr">
        <is>
          <t>COLOCACIÓN MÓDULO</t>
        </is>
      </c>
      <c r="E193" s="6" t="inlineStr"/>
      <c r="F193" s="6" t="inlineStr">
        <is>
          <t>IMPUTADO</t>
        </is>
      </c>
      <c r="G193" s="4" t="n">
        <v>600</v>
      </c>
    </row>
    <row r="194">
      <c r="A194" s="6" t="inlineStr">
        <is>
          <t>OBRA C/FORMENTERA, 12 (JOAQUIN)</t>
        </is>
      </c>
      <c r="B194" s="6" t="inlineStr">
        <is>
          <t>1.234,00</t>
        </is>
      </c>
      <c r="C194" s="6" t="inlineStr">
        <is>
          <t>28/04/2026</t>
        </is>
      </c>
      <c r="D194" s="6" t="inlineStr">
        <is>
          <t>MATERIAL #albañileria</t>
        </is>
      </c>
      <c r="E194" s="6" t="inlineStr">
        <is>
          <t>CONSYDECOR SL</t>
        </is>
      </c>
      <c r="F194" s="6" t="inlineStr">
        <is>
          <t>IMPUTADO</t>
        </is>
      </c>
      <c r="G194" s="4" t="n">
        <v>565.37</v>
      </c>
    </row>
    <row r="195">
      <c r="A195" s="6" t="inlineStr">
        <is>
          <t>OBRA C/FORMENTERA, 12 (JOAQUIN)</t>
        </is>
      </c>
      <c r="B195" s="6" t="inlineStr">
        <is>
          <t>312,00</t>
        </is>
      </c>
      <c r="C195" s="6" t="inlineStr">
        <is>
          <t>06/03/2026</t>
        </is>
      </c>
      <c r="D195" s="6" t="inlineStr">
        <is>
          <t>HORMIGON</t>
        </is>
      </c>
      <c r="E195" s="6" t="inlineStr"/>
      <c r="F195" s="6" t="inlineStr">
        <is>
          <t>IMPUTADO</t>
        </is>
      </c>
      <c r="G195" s="4" t="n">
        <v>562.25</v>
      </c>
    </row>
    <row r="196">
      <c r="A196" s="6" t="inlineStr">
        <is>
          <t>OBRA C/FORMENTERA, 12 (JOAQUIN)</t>
        </is>
      </c>
      <c r="B196" s="6" t="inlineStr">
        <is>
          <t>340,00</t>
        </is>
      </c>
      <c r="C196" s="6" t="inlineStr"/>
      <c r="D196" s="6" t="inlineStr">
        <is>
          <t>GRUA</t>
        </is>
      </c>
      <c r="E196" s="6" t="inlineStr">
        <is>
          <t>GRUAS Y MAQUINARIA PETREL SL</t>
        </is>
      </c>
      <c r="F196" s="6" t="inlineStr">
        <is>
          <t>SIN IMPUTAR</t>
        </is>
      </c>
      <c r="G196" s="4" t="n">
        <v>560</v>
      </c>
    </row>
    <row r="197">
      <c r="A197" s="6" t="inlineStr">
        <is>
          <t>OBRA C/FORMENTERA, 12 (JOAQUIN)</t>
        </is>
      </c>
      <c r="B197" s="6" t="inlineStr">
        <is>
          <t>1.605,00</t>
        </is>
      </c>
      <c r="C197" s="6" t="inlineStr">
        <is>
          <t>05/06/2026</t>
        </is>
      </c>
      <c r="D197" s="6" t="inlineStr">
        <is>
          <t>CONTENEDOR</t>
        </is>
      </c>
      <c r="E197" s="6" t="inlineStr">
        <is>
          <t>CONTENEDORES Y EXCAVACIONES ASPE SL.</t>
        </is>
      </c>
      <c r="F197" s="6" t="inlineStr">
        <is>
          <t>IMPUTADO</t>
        </is>
      </c>
      <c r="G197" s="4" t="n">
        <v>550</v>
      </c>
    </row>
    <row r="198">
      <c r="A198" s="6" t="inlineStr">
        <is>
          <t>OBRA C/FORMENTERA, 12 (JOAQUIN)</t>
        </is>
      </c>
      <c r="B198" s="6" t="inlineStr">
        <is>
          <t>363,00</t>
        </is>
      </c>
      <c r="C198" s="6" t="inlineStr"/>
      <c r="D198" s="6" t="inlineStr">
        <is>
          <t>BOMBEO</t>
        </is>
      </c>
      <c r="E198" s="6" t="inlineStr"/>
      <c r="F198" s="6" t="inlineStr">
        <is>
          <t>SIN IMPUTAR</t>
        </is>
      </c>
      <c r="G198" s="4" t="n">
        <v>544.5</v>
      </c>
    </row>
    <row r="199">
      <c r="A199" s="6" t="inlineStr">
        <is>
          <t>OBRA C/FORMENTERA, 12 (JOAQUIN)</t>
        </is>
      </c>
      <c r="B199" s="6" t="inlineStr">
        <is>
          <t>1.861,00</t>
        </is>
      </c>
      <c r="C199" s="6" t="inlineStr">
        <is>
          <t>28/07/2026</t>
        </is>
      </c>
      <c r="D199" s="6" t="inlineStr">
        <is>
          <t>LLENADO PISCINA</t>
        </is>
      </c>
      <c r="E199" s="6" t="inlineStr">
        <is>
          <t>TRANSPORTES LUIS BLANES SL.</t>
        </is>
      </c>
      <c r="F199" s="6" t="inlineStr">
        <is>
          <t>IMPUTADO</t>
        </is>
      </c>
      <c r="G199" s="4" t="n">
        <v>500</v>
      </c>
    </row>
    <row r="200">
      <c r="A200" s="6" t="inlineStr">
        <is>
          <t>OBRA C/FORMENTERA, 12 (JOAQUIN)</t>
        </is>
      </c>
      <c r="B200" s="6" t="inlineStr">
        <is>
          <t>1.561,00</t>
        </is>
      </c>
      <c r="C200" s="6" t="inlineStr">
        <is>
          <t>25/05/2026</t>
        </is>
      </c>
      <c r="D200" s="6" t="inlineStr">
        <is>
          <t>LLENAR PISCINA AGUA CUBA</t>
        </is>
      </c>
      <c r="E200" s="6" t="inlineStr">
        <is>
          <t>TRANSPORTES LUIS BLANES SL.</t>
        </is>
      </c>
      <c r="F200" s="6" t="inlineStr">
        <is>
          <t>IMPUTADO</t>
        </is>
      </c>
      <c r="G200" s="4" t="n">
        <v>500</v>
      </c>
    </row>
    <row r="201">
      <c r="A201" s="6" t="inlineStr">
        <is>
          <t>OBRA C/FORMENTERA, 12 (JOAQUIN)</t>
        </is>
      </c>
      <c r="B201" s="6" t="inlineStr">
        <is>
          <t>506,00</t>
        </is>
      </c>
      <c r="C201" s="6" t="inlineStr">
        <is>
          <t>24/02/2026</t>
        </is>
      </c>
      <c r="D201" s="6" t="inlineStr">
        <is>
          <t>GRUA</t>
        </is>
      </c>
      <c r="E201" s="6" t="inlineStr">
        <is>
          <t>GRUAS Y MAQUINARIA PETREL SL</t>
        </is>
      </c>
      <c r="F201" s="6" t="inlineStr">
        <is>
          <t>IMPUTADO</t>
        </is>
      </c>
      <c r="G201" s="4" t="n">
        <v>495</v>
      </c>
    </row>
    <row r="202">
      <c r="A202" s="6" t="inlineStr">
        <is>
          <t>OBRA C/FORMENTERA, 12 (JOAQUIN)</t>
        </is>
      </c>
      <c r="B202" s="6" t="inlineStr">
        <is>
          <t>1.259,00</t>
        </is>
      </c>
      <c r="C202" s="6" t="inlineStr">
        <is>
          <t>28/04/2026</t>
        </is>
      </c>
      <c r="D202" s="6" t="inlineStr">
        <is>
          <t>GRIFERIA</t>
        </is>
      </c>
      <c r="E202" s="6" t="inlineStr">
        <is>
          <t>SALTOKI ELCHE SL.</t>
        </is>
      </c>
      <c r="F202" s="6" t="inlineStr">
        <is>
          <t>IMPUTADO</t>
        </is>
      </c>
      <c r="G202" s="4" t="n">
        <v>475.31</v>
      </c>
    </row>
    <row r="203">
      <c r="A203" s="6" t="inlineStr">
        <is>
          <t>OBRA C/FORMENTERA, 12 (JOAQUIN)</t>
        </is>
      </c>
      <c r="B203" s="6" t="inlineStr">
        <is>
          <t>1.889,00</t>
        </is>
      </c>
      <c r="C203" s="6" t="inlineStr">
        <is>
          <t>31/08/2026</t>
        </is>
      </c>
      <c r="D203" s="6" t="inlineStr">
        <is>
          <t>MATERIAL Y GESTION FURGON</t>
        </is>
      </c>
      <c r="E203" s="6" t="inlineStr">
        <is>
          <t>CONSYDECOR SL</t>
        </is>
      </c>
      <c r="F203" s="6" t="inlineStr">
        <is>
          <t>IMPUTADO</t>
        </is>
      </c>
      <c r="G203" s="4" t="n">
        <v>468.44</v>
      </c>
    </row>
    <row r="204">
      <c r="A204" s="6" t="inlineStr">
        <is>
          <t>OBRA C/FORMENTERA, 12 (JOAQUIN)</t>
        </is>
      </c>
      <c r="B204" s="6" t="inlineStr">
        <is>
          <t>523,00</t>
        </is>
      </c>
      <c r="C204" s="6" t="inlineStr">
        <is>
          <t>11/02/2026</t>
        </is>
      </c>
      <c r="D204" s="6" t="inlineStr">
        <is>
          <t>CONTENEDOR</t>
        </is>
      </c>
      <c r="E204" s="6" t="inlineStr"/>
      <c r="F204" s="6" t="inlineStr">
        <is>
          <t>IMPUTADO</t>
        </is>
      </c>
      <c r="G204" s="4" t="n">
        <v>460</v>
      </c>
    </row>
    <row r="205">
      <c r="A205" s="6" t="inlineStr">
        <is>
          <t>OBRA C/FORMENTERA, 12 (JOAQUIN)</t>
        </is>
      </c>
      <c r="B205" s="6" t="inlineStr">
        <is>
          <t>514,00</t>
        </is>
      </c>
      <c r="C205" s="6" t="inlineStr">
        <is>
          <t>24/02/2026</t>
        </is>
      </c>
      <c r="D205" s="6" t="inlineStr">
        <is>
          <t>CONTENEDOR</t>
        </is>
      </c>
      <c r="E205" s="6" t="inlineStr"/>
      <c r="F205" s="6" t="inlineStr">
        <is>
          <t>IMPUTADO</t>
        </is>
      </c>
      <c r="G205" s="4" t="n">
        <v>460</v>
      </c>
    </row>
    <row r="206">
      <c r="A206" s="6" t="inlineStr">
        <is>
          <t>OBRA C/FORMENTERA, 12 (JOAQUIN)</t>
        </is>
      </c>
      <c r="B206" s="6" t="inlineStr">
        <is>
          <t>481,00</t>
        </is>
      </c>
      <c r="C206" s="6" t="inlineStr">
        <is>
          <t>24/02/2026</t>
        </is>
      </c>
      <c r="D206" s="6" t="inlineStr">
        <is>
          <t>CONTENEDORES</t>
        </is>
      </c>
      <c r="E206" s="6" t="inlineStr"/>
      <c r="F206" s="6" t="inlineStr">
        <is>
          <t>IMPUTADO</t>
        </is>
      </c>
      <c r="G206" s="4" t="n">
        <v>460</v>
      </c>
    </row>
    <row r="207">
      <c r="A207" s="6" t="inlineStr">
        <is>
          <t>OBRA C/FORMENTERA, 12 (JOAQUIN)</t>
        </is>
      </c>
      <c r="B207" s="6" t="inlineStr">
        <is>
          <t>435,00</t>
        </is>
      </c>
      <c r="C207" s="6" t="inlineStr">
        <is>
          <t>06/03/2026</t>
        </is>
      </c>
      <c r="D207" s="6" t="inlineStr">
        <is>
          <t>BASTIDOR</t>
        </is>
      </c>
      <c r="E207" s="6" t="inlineStr"/>
      <c r="F207" s="6" t="inlineStr">
        <is>
          <t>IMPUTADO</t>
        </is>
      </c>
      <c r="G207" s="4" t="n">
        <v>439.75</v>
      </c>
    </row>
    <row r="208">
      <c r="A208" s="6" t="inlineStr">
        <is>
          <t>OBRA C/FORMENTERA, 12 (JOAQUIN)</t>
        </is>
      </c>
      <c r="B208" s="6" t="inlineStr">
        <is>
          <t>1.095,00</t>
        </is>
      </c>
      <c r="C208" s="6" t="inlineStr">
        <is>
          <t>02/04/2026</t>
        </is>
      </c>
      <c r="D208" s="6" t="inlineStr">
        <is>
          <t>PRESUPUESTO Nº 609212-2</t>
        </is>
      </c>
      <c r="E208" s="6" t="inlineStr">
        <is>
          <t>LEROY MERLIN ESPAÑA SL</t>
        </is>
      </c>
      <c r="F208" s="6" t="inlineStr">
        <is>
          <t>IMPUTADO</t>
        </is>
      </c>
      <c r="G208" s="4" t="n">
        <v>405.39</v>
      </c>
    </row>
    <row r="209">
      <c r="A209" s="6" t="inlineStr">
        <is>
          <t>OBRA C/FORMENTERA, 12 (JOAQUIN)</t>
        </is>
      </c>
      <c r="B209" s="6" t="inlineStr">
        <is>
          <t>1.738,00</t>
        </is>
      </c>
      <c r="C209" s="6" t="inlineStr">
        <is>
          <t>10/07/2026</t>
        </is>
      </c>
      <c r="D209" s="6" t="inlineStr">
        <is>
          <t>APLIQUES EXTERIOR</t>
        </is>
      </c>
      <c r="E209" s="6" t="inlineStr">
        <is>
          <t>LEROY MERLIN ESPAÑA SL</t>
        </is>
      </c>
      <c r="F209" s="6" t="inlineStr">
        <is>
          <t>IMPUTADO</t>
        </is>
      </c>
      <c r="G209" s="4" t="n">
        <v>400.27</v>
      </c>
    </row>
    <row r="210">
      <c r="A210" s="6" t="inlineStr">
        <is>
          <t>OBRA C/FORMENTERA, 12 (JOAQUIN)</t>
        </is>
      </c>
      <c r="B210" s="6" t="inlineStr">
        <is>
          <t>344,00</t>
        </is>
      </c>
      <c r="C210" s="6" t="inlineStr"/>
      <c r="D210" s="6" t="inlineStr">
        <is>
          <t>IMASA</t>
        </is>
      </c>
      <c r="E210" s="6" t="inlineStr"/>
      <c r="F210" s="6" t="inlineStr">
        <is>
          <t>SIN IMPUTAR</t>
        </is>
      </c>
      <c r="G210" s="4" t="n">
        <v>400</v>
      </c>
    </row>
    <row r="211">
      <c r="A211" s="6" t="inlineStr">
        <is>
          <t>OBRA C/FORMENTERA, 12 (JOAQUIN)</t>
        </is>
      </c>
      <c r="B211" s="6" t="inlineStr">
        <is>
          <t>1.745,00</t>
        </is>
      </c>
      <c r="C211" s="6" t="inlineStr"/>
      <c r="D211" s="6" t="inlineStr">
        <is>
          <t>ABONO  PARCIAL - TABLERO FENÓLICO</t>
        </is>
      </c>
      <c r="E211" s="6" t="inlineStr">
        <is>
          <t>SIDO MADERA SL</t>
        </is>
      </c>
      <c r="F211" s="6" t="inlineStr">
        <is>
          <t>SIN IMPUTAR</t>
        </is>
      </c>
      <c r="G211" s="4" t="n">
        <v>-398.25</v>
      </c>
    </row>
    <row r="212">
      <c r="A212" s="6" t="inlineStr">
        <is>
          <t>OBRA C/FORMENTERA, 12 (JOAQUIN)</t>
        </is>
      </c>
      <c r="B212" s="6" t="inlineStr">
        <is>
          <t>1.819,00</t>
        </is>
      </c>
      <c r="C212" s="6" t="inlineStr">
        <is>
          <t>17/07/2026</t>
        </is>
      </c>
      <c r="D212" s="6" t="inlineStr">
        <is>
          <t>CONTENEDORES</t>
        </is>
      </c>
      <c r="E212" s="6" t="inlineStr">
        <is>
          <t>CONTENEDORES Y EXCAVACIONES ASPE SL.</t>
        </is>
      </c>
      <c r="F212" s="6" t="inlineStr">
        <is>
          <t>IMPUTADO</t>
        </is>
      </c>
      <c r="G212" s="4" t="n">
        <v>-390</v>
      </c>
    </row>
    <row r="213">
      <c r="A213" s="6" t="inlineStr">
        <is>
          <t>OBRA C/FORMENTERA, 12 (JOAQUIN)</t>
        </is>
      </c>
      <c r="B213" s="6" t="inlineStr">
        <is>
          <t>1.818,00</t>
        </is>
      </c>
      <c r="C213" s="6" t="inlineStr">
        <is>
          <t>17/07/2026</t>
        </is>
      </c>
      <c r="D213" s="6" t="inlineStr">
        <is>
          <t>CONTENEDORES</t>
        </is>
      </c>
      <c r="E213" s="6" t="inlineStr">
        <is>
          <t>CONTENEDORES Y EXCAVACIONES ASPE SL.</t>
        </is>
      </c>
      <c r="F213" s="6" t="inlineStr">
        <is>
          <t>IMPUTADO</t>
        </is>
      </c>
      <c r="G213" s="4" t="n">
        <v>390</v>
      </c>
    </row>
    <row r="214">
      <c r="A214" s="6" t="inlineStr">
        <is>
          <t>OBRA C/FORMENTERA, 12 (JOAQUIN)</t>
        </is>
      </c>
      <c r="B214" s="6" t="inlineStr">
        <is>
          <t>1.817,00</t>
        </is>
      </c>
      <c r="C214" s="6" t="inlineStr">
        <is>
          <t>17/07/2026</t>
        </is>
      </c>
      <c r="D214" s="6" t="inlineStr">
        <is>
          <t>CONTENEDORES</t>
        </is>
      </c>
      <c r="E214" s="6" t="inlineStr">
        <is>
          <t>CONTENEDORES Y EXCAVACIONES ASPE SL.</t>
        </is>
      </c>
      <c r="F214" s="6" t="inlineStr">
        <is>
          <t>IMPUTADO</t>
        </is>
      </c>
      <c r="G214" s="4" t="n">
        <v>-390</v>
      </c>
    </row>
    <row r="215">
      <c r="A215" s="6" t="inlineStr">
        <is>
          <t>OBRA C/FORMENTERA, 12 (JOAQUIN)</t>
        </is>
      </c>
      <c r="B215" s="6" t="inlineStr">
        <is>
          <t>1.816,00</t>
        </is>
      </c>
      <c r="C215" s="6" t="inlineStr">
        <is>
          <t>17/07/2026</t>
        </is>
      </c>
      <c r="D215" s="6" t="inlineStr">
        <is>
          <t>CONTENEDORES</t>
        </is>
      </c>
      <c r="E215" s="6" t="inlineStr">
        <is>
          <t>CONTENEDORES Y EXCAVACIONES ASPE SL.</t>
        </is>
      </c>
      <c r="F215" s="6" t="inlineStr">
        <is>
          <t>IMPUTADO</t>
        </is>
      </c>
      <c r="G215" s="4" t="n">
        <v>390</v>
      </c>
    </row>
    <row r="216">
      <c r="A216" s="6" t="inlineStr">
        <is>
          <t>OBRA C/FORMENTERA, 12 (JOAQUIN)</t>
        </is>
      </c>
      <c r="B216" s="6" t="inlineStr">
        <is>
          <t>1.801,00</t>
        </is>
      </c>
      <c r="C216" s="6" t="inlineStr">
        <is>
          <t>13/07/2026</t>
        </is>
      </c>
      <c r="D216" s="6" t="inlineStr">
        <is>
          <t>CONTENEDORES</t>
        </is>
      </c>
      <c r="E216" s="6" t="inlineStr">
        <is>
          <t>CONTENEDORES Y EXCAVACIONES ASPE SL.</t>
        </is>
      </c>
      <c r="F216" s="6" t="inlineStr">
        <is>
          <t>IMPUTADO</t>
        </is>
      </c>
      <c r="G216" s="4" t="n">
        <v>390</v>
      </c>
    </row>
    <row r="217">
      <c r="A217" s="6" t="inlineStr">
        <is>
          <t>OBRA C/FORMENTERA, 12 (JOAQUIN)</t>
        </is>
      </c>
      <c r="B217" s="6" t="inlineStr">
        <is>
          <t>415,00</t>
        </is>
      </c>
      <c r="C217" s="6" t="inlineStr">
        <is>
          <t>06/03/2026</t>
        </is>
      </c>
      <c r="D217" s="6" t="inlineStr">
        <is>
          <t>TOMA TIERRA</t>
        </is>
      </c>
      <c r="E217" s="6" t="inlineStr"/>
      <c r="F217" s="6" t="inlineStr">
        <is>
          <t>IMPUTADO</t>
        </is>
      </c>
      <c r="G217" s="4" t="n">
        <v>389.26</v>
      </c>
    </row>
    <row r="218">
      <c r="A218" s="6" t="inlineStr">
        <is>
          <t>OBRA C/FORMENTERA, 12 (JOAQUIN)</t>
        </is>
      </c>
      <c r="B218" s="6" t="inlineStr">
        <is>
          <t>1.771,00</t>
        </is>
      </c>
      <c r="C218" s="6" t="inlineStr">
        <is>
          <t>10/07/2026</t>
        </is>
      </c>
      <c r="D218" s="6" t="inlineStr">
        <is>
          <t>PINTURA</t>
        </is>
      </c>
      <c r="E218" s="6" t="inlineStr">
        <is>
          <t>PINTURAS IDELLA SL.</t>
        </is>
      </c>
      <c r="F218" s="6" t="inlineStr">
        <is>
          <t>IMPUTADO</t>
        </is>
      </c>
      <c r="G218" s="4" t="n">
        <v>380.84</v>
      </c>
    </row>
    <row r="219">
      <c r="A219" s="6" t="inlineStr">
        <is>
          <t>OBRA C/FORMENTERA, 12 (JOAQUIN)</t>
        </is>
      </c>
      <c r="B219" s="6" t="inlineStr">
        <is>
          <t>1.244,00</t>
        </is>
      </c>
      <c r="C219" s="6" t="inlineStr">
        <is>
          <t>28/04/2026</t>
        </is>
      </c>
      <c r="D219" s="6" t="inlineStr">
        <is>
          <t>PRESUPUESTO Nº 615228</t>
        </is>
      </c>
      <c r="E219" s="6" t="inlineStr">
        <is>
          <t>LEROY MERLIN ESPAÑA SL</t>
        </is>
      </c>
      <c r="F219" s="6" t="inlineStr">
        <is>
          <t>IMPUTADO</t>
        </is>
      </c>
      <c r="G219" s="4" t="n">
        <v>380.07</v>
      </c>
    </row>
    <row r="220">
      <c r="A220" s="6" t="inlineStr">
        <is>
          <t>OBRA C/FORMENTERA, 12 (JOAQUIN)</t>
        </is>
      </c>
      <c r="B220" s="6" t="inlineStr">
        <is>
          <t>1.862,00</t>
        </is>
      </c>
      <c r="C220" s="6" t="inlineStr">
        <is>
          <t>28/07/2026</t>
        </is>
      </c>
      <c r="D220" s="6" t="inlineStr">
        <is>
          <t>PLADUR</t>
        </is>
      </c>
      <c r="E220" s="6" t="inlineStr">
        <is>
          <t>SAINT GOBAIN IDAPLAC SL</t>
        </is>
      </c>
      <c r="F220" s="6" t="inlineStr">
        <is>
          <t>IMPUTADO</t>
        </is>
      </c>
      <c r="G220" s="4" t="n">
        <v>376.3</v>
      </c>
    </row>
    <row r="221">
      <c r="A221" s="6" t="inlineStr">
        <is>
          <t>OBRA C/FORMENTERA, 12 (JOAQUIN)</t>
        </is>
      </c>
      <c r="B221" s="6" t="inlineStr">
        <is>
          <t>422,00</t>
        </is>
      </c>
      <c r="C221" s="6" t="inlineStr">
        <is>
          <t>06/03/2026</t>
        </is>
      </c>
      <c r="D221" s="6" t="inlineStr">
        <is>
          <t>ALAMBRE TJEP ULTRA</t>
        </is>
      </c>
      <c r="E221" s="6" t="inlineStr"/>
      <c r="F221" s="6" t="inlineStr">
        <is>
          <t>IMPUTADO</t>
        </is>
      </c>
      <c r="G221" s="4" t="n">
        <v>371.88</v>
      </c>
    </row>
    <row r="222">
      <c r="A222" s="6" t="inlineStr">
        <is>
          <t>OBRA C/FORMENTERA, 12 (JOAQUIN)</t>
        </is>
      </c>
      <c r="B222" s="6" t="inlineStr">
        <is>
          <t>1.784,00</t>
        </is>
      </c>
      <c r="C222" s="6" t="inlineStr">
        <is>
          <t>13/07/2026</t>
        </is>
      </c>
      <c r="D222" s="6" t="inlineStr">
        <is>
          <t>MATERIAL OBRA</t>
        </is>
      </c>
      <c r="E222" s="6" t="inlineStr">
        <is>
          <t>CONSYDECOR SL</t>
        </is>
      </c>
      <c r="F222" s="6" t="inlineStr">
        <is>
          <t>IMPUTADO</t>
        </is>
      </c>
      <c r="G222" s="4" t="n">
        <v>365.07</v>
      </c>
    </row>
    <row r="223">
      <c r="A223" s="6" t="inlineStr">
        <is>
          <t>OBRA C/FORMENTERA, 12 (JOAQUIN)</t>
        </is>
      </c>
      <c r="B223" s="6" t="inlineStr">
        <is>
          <t>313,00</t>
        </is>
      </c>
      <c r="C223" s="6" t="inlineStr"/>
      <c r="D223" s="6" t="inlineStr">
        <is>
          <t>IMASA</t>
        </is>
      </c>
      <c r="E223" s="6" t="inlineStr"/>
      <c r="F223" s="6" t="inlineStr">
        <is>
          <t>SIN IMPUTAR</t>
        </is>
      </c>
      <c r="G223" s="4" t="n">
        <v>365</v>
      </c>
    </row>
    <row r="224">
      <c r="A224" s="6" t="inlineStr">
        <is>
          <t>OBRA C/FORMENTERA, 12 (JOAQUIN)</t>
        </is>
      </c>
      <c r="B224" s="6" t="inlineStr">
        <is>
          <t>1.252,00</t>
        </is>
      </c>
      <c r="C224" s="6" t="inlineStr">
        <is>
          <t>28/04/2026</t>
        </is>
      </c>
      <c r="D224" s="6" t="inlineStr">
        <is>
          <t>GRUA #albañileria</t>
        </is>
      </c>
      <c r="E224" s="6" t="inlineStr">
        <is>
          <t>GRUAS Y MAQUINARIA PETREL SL</t>
        </is>
      </c>
      <c r="F224" s="6" t="inlineStr">
        <is>
          <t>IMPUTADO</t>
        </is>
      </c>
      <c r="G224" s="4" t="n">
        <v>360</v>
      </c>
    </row>
    <row r="225">
      <c r="A225" s="6" t="inlineStr">
        <is>
          <t>OBRA C/FORMENTERA, 12 (JOAQUIN)</t>
        </is>
      </c>
      <c r="B225" s="6" t="inlineStr">
        <is>
          <t>1.883,00</t>
        </is>
      </c>
      <c r="C225" s="6" t="inlineStr"/>
      <c r="D225" s="6" t="inlineStr">
        <is>
          <t>GRUA</t>
        </is>
      </c>
      <c r="E225" s="6" t="inlineStr">
        <is>
          <t>GRUAS Y MAQUINARIA PETREL SL</t>
        </is>
      </c>
      <c r="F225" s="6" t="inlineStr">
        <is>
          <t>SIN IMPUTAR</t>
        </is>
      </c>
      <c r="G225" s="4" t="n">
        <v>-357</v>
      </c>
    </row>
    <row r="226">
      <c r="A226" s="6" t="inlineStr">
        <is>
          <t>OBRA C/FORMENTERA, 12 (JOAQUIN)</t>
        </is>
      </c>
      <c r="B226" s="6" t="inlineStr">
        <is>
          <t>1.859,00</t>
        </is>
      </c>
      <c r="C226" s="6" t="inlineStr">
        <is>
          <t>28/07/2026</t>
        </is>
      </c>
      <c r="D226" s="6" t="inlineStr">
        <is>
          <t>GRUA</t>
        </is>
      </c>
      <c r="E226" s="6" t="inlineStr">
        <is>
          <t>GRUAS Y MAQUINARIA PETREL SL</t>
        </is>
      </c>
      <c r="F226" s="6" t="inlineStr">
        <is>
          <t>IMPUTADO</t>
        </is>
      </c>
      <c r="G226" s="4" t="n">
        <v>357</v>
      </c>
    </row>
    <row r="227">
      <c r="A227" s="6" t="inlineStr">
        <is>
          <t>OBRA C/FORMENTERA, 12 (JOAQUIN)</t>
        </is>
      </c>
      <c r="B227" s="6" t="inlineStr">
        <is>
          <t>1.835,00</t>
        </is>
      </c>
      <c r="C227" s="6" t="inlineStr">
        <is>
          <t>24/07/2026</t>
        </is>
      </c>
      <c r="D227" s="6" t="inlineStr">
        <is>
          <t>CONTENEDORES</t>
        </is>
      </c>
      <c r="E227" s="6" t="inlineStr">
        <is>
          <t>CONTENEDORES Y EXCAVACIONES ASPE SL.</t>
        </is>
      </c>
      <c r="F227" s="6" t="inlineStr">
        <is>
          <t>IMPUTADO</t>
        </is>
      </c>
      <c r="G227" s="4" t="n">
        <v>350</v>
      </c>
    </row>
    <row r="228">
      <c r="A228" s="6" t="inlineStr">
        <is>
          <t>OBRA C/FORMENTERA, 12 (JOAQUIN)</t>
        </is>
      </c>
      <c r="B228" s="6" t="inlineStr">
        <is>
          <t>1.715,00</t>
        </is>
      </c>
      <c r="C228" s="6" t="inlineStr">
        <is>
          <t>16/06/2026</t>
        </is>
      </c>
      <c r="D228" s="6" t="inlineStr">
        <is>
          <t>HORMIGON MURO</t>
        </is>
      </c>
      <c r="E228" s="6" t="inlineStr">
        <is>
          <t>EXPRESS HORMIGONES SL.</t>
        </is>
      </c>
      <c r="F228" s="6" t="inlineStr">
        <is>
          <t>IMPUTADO</t>
        </is>
      </c>
      <c r="G228" s="4" t="n">
        <v>325.5</v>
      </c>
    </row>
    <row r="229">
      <c r="A229" s="6" t="inlineStr">
        <is>
          <t>OBRA C/FORMENTERA, 12 (JOAQUIN)</t>
        </is>
      </c>
      <c r="B229" s="6" t="inlineStr">
        <is>
          <t>346,00</t>
        </is>
      </c>
      <c r="C229" s="6" t="inlineStr"/>
      <c r="D229" s="6" t="inlineStr">
        <is>
          <t>ESTRUCTURA</t>
        </is>
      </c>
      <c r="E229" s="6" t="inlineStr"/>
      <c r="F229" s="6" t="inlineStr">
        <is>
          <t>SIN IMPUTAR</t>
        </is>
      </c>
      <c r="G229" s="4" t="n">
        <v>325.17</v>
      </c>
    </row>
    <row r="230">
      <c r="A230" s="6" t="inlineStr">
        <is>
          <t>OBRA C/FORMENTERA, 12 (JOAQUIN)</t>
        </is>
      </c>
      <c r="B230" s="6" t="inlineStr">
        <is>
          <t>1.876,00</t>
        </is>
      </c>
      <c r="C230" s="6" t="inlineStr">
        <is>
          <t>26/08/2026</t>
        </is>
      </c>
      <c r="D230" s="6" t="inlineStr">
        <is>
          <t>RETROCARGADORA MIXTA</t>
        </is>
      </c>
      <c r="E230" s="6" t="inlineStr">
        <is>
          <t>CONTENEDORES Y EXCAVACIONES ASPE SL.</t>
        </is>
      </c>
      <c r="F230" s="6" t="inlineStr">
        <is>
          <t>IMPUTADO</t>
        </is>
      </c>
      <c r="G230" s="4" t="n">
        <v>310</v>
      </c>
    </row>
    <row r="231">
      <c r="A231" s="6" t="inlineStr">
        <is>
          <t>OBRA C/FORMENTERA, 12 (JOAQUIN)</t>
        </is>
      </c>
      <c r="B231" s="6" t="inlineStr">
        <is>
          <t>386,00</t>
        </is>
      </c>
      <c r="C231" s="6" t="inlineStr"/>
      <c r="D231" s="6" t="inlineStr">
        <is>
          <t>TOPÓGRAFO</t>
        </is>
      </c>
      <c r="E231" s="6" t="inlineStr"/>
      <c r="F231" s="6" t="inlineStr">
        <is>
          <t>SIN IMPUTAR</t>
        </is>
      </c>
      <c r="G231" s="4" t="n">
        <v>300</v>
      </c>
    </row>
    <row r="232">
      <c r="A232" s="6" t="inlineStr">
        <is>
          <t>OBRA C/FORMENTERA, 12 (JOAQUIN)</t>
        </is>
      </c>
      <c r="B232" s="6" t="inlineStr">
        <is>
          <t>1.651,00</t>
        </is>
      </c>
      <c r="C232" s="6" t="inlineStr">
        <is>
          <t>05/06/2026</t>
        </is>
      </c>
      <c r="D232" s="6" t="inlineStr">
        <is>
          <t>MATERIAL OBRA</t>
        </is>
      </c>
      <c r="E232" s="6" t="inlineStr">
        <is>
          <t>CONSYDECOR SL</t>
        </is>
      </c>
      <c r="F232" s="6" t="inlineStr">
        <is>
          <t>IMPUTADO</t>
        </is>
      </c>
      <c r="G232" s="4" t="n">
        <v>294.86</v>
      </c>
    </row>
    <row r="233">
      <c r="A233" s="6" t="inlineStr">
        <is>
          <t>OBRA C/FORMENTERA, 12 (JOAQUIN)</t>
        </is>
      </c>
      <c r="B233" s="6" t="inlineStr">
        <is>
          <t>1.887,00</t>
        </is>
      </c>
      <c r="C233" s="6" t="inlineStr"/>
      <c r="D233" s="6" t="inlineStr">
        <is>
          <t>MALLAZO ELECTROSOLDADO</t>
        </is>
      </c>
      <c r="E233" s="6" t="inlineStr">
        <is>
          <t>FERRALLAS MONFORTE DEL CID SL.</t>
        </is>
      </c>
      <c r="F233" s="6" t="inlineStr">
        <is>
          <t>SIN IMPUTAR</t>
        </is>
      </c>
      <c r="G233" s="4" t="n">
        <v>257.4</v>
      </c>
    </row>
    <row r="234">
      <c r="A234" s="6" t="inlineStr">
        <is>
          <t>OBRA C/FORMENTERA, 12 (JOAQUIN)</t>
        </is>
      </c>
      <c r="B234" s="6" t="inlineStr">
        <is>
          <t>317,00</t>
        </is>
      </c>
      <c r="C234" s="6" t="inlineStr"/>
      <c r="D234" s="6" t="inlineStr">
        <is>
          <t>SIERRA SABLE</t>
        </is>
      </c>
      <c r="E234" s="6" t="inlineStr"/>
      <c r="F234" s="6" t="inlineStr">
        <is>
          <t>SIN IMPUTAR</t>
        </is>
      </c>
      <c r="G234" s="4" t="n">
        <v>246.49</v>
      </c>
    </row>
    <row r="235">
      <c r="A235" s="6" t="inlineStr">
        <is>
          <t>OBRA C/FORMENTERA, 12 (JOAQUIN)</t>
        </is>
      </c>
      <c r="B235" s="6" t="inlineStr">
        <is>
          <t>1.836,00</t>
        </is>
      </c>
      <c r="C235" s="6" t="inlineStr">
        <is>
          <t>24/07/2026</t>
        </is>
      </c>
      <c r="D235" s="6" t="inlineStr">
        <is>
          <t>MATERIAL OBRA</t>
        </is>
      </c>
      <c r="E235" s="6" t="inlineStr">
        <is>
          <t>CONSYDECOR SL</t>
        </is>
      </c>
      <c r="F235" s="6" t="inlineStr">
        <is>
          <t>IMPUTADO</t>
        </is>
      </c>
      <c r="G235" s="4" t="n">
        <v>245.44</v>
      </c>
    </row>
    <row r="236">
      <c r="A236" s="6" t="inlineStr">
        <is>
          <t>OBRA C/FORMENTERA, 12 (JOAQUIN)</t>
        </is>
      </c>
      <c r="B236" s="6" t="inlineStr">
        <is>
          <t>1.741,00</t>
        </is>
      </c>
      <c r="C236" s="6" t="inlineStr"/>
      <c r="D236" s="6" t="inlineStr">
        <is>
          <t>REJILLA LINEAL</t>
        </is>
      </c>
      <c r="E236" s="6" t="inlineStr">
        <is>
          <t>LEROY MERLIN ESPAÑA SL</t>
        </is>
      </c>
      <c r="F236" s="6" t="inlineStr">
        <is>
          <t>SIN IMPUTAR</t>
        </is>
      </c>
      <c r="G236" s="4" t="n">
        <v>242.4</v>
      </c>
    </row>
    <row r="237">
      <c r="A237" s="6" t="inlineStr">
        <is>
          <t>OBRA C/FORMENTERA, 12 (JOAQUIN)</t>
        </is>
      </c>
      <c r="B237" s="6" t="inlineStr">
        <is>
          <t>508,00</t>
        </is>
      </c>
      <c r="C237" s="6" t="inlineStr">
        <is>
          <t>24/02/2026</t>
        </is>
      </c>
      <c r="D237" s="6" t="inlineStr">
        <is>
          <t>HIERRO</t>
        </is>
      </c>
      <c r="E237" s="6" t="inlineStr"/>
      <c r="F237" s="6" t="inlineStr">
        <is>
          <t>IMPUTADO</t>
        </is>
      </c>
      <c r="G237" s="4" t="n">
        <v>237.6</v>
      </c>
    </row>
    <row r="238">
      <c r="A238" s="6" t="inlineStr">
        <is>
          <t>OBRA C/FORMENTERA, 12 (JOAQUIN)</t>
        </is>
      </c>
      <c r="B238" s="6" t="inlineStr">
        <is>
          <t>328,00</t>
        </is>
      </c>
      <c r="C238" s="6" t="inlineStr"/>
      <c r="D238" s="6" t="inlineStr">
        <is>
          <t>ACERO FERRALLADO</t>
        </is>
      </c>
      <c r="E238" s="6" t="inlineStr"/>
      <c r="F238" s="6" t="inlineStr">
        <is>
          <t>SIN IMPUTAR</t>
        </is>
      </c>
      <c r="G238" s="4" t="n">
        <v>235.2</v>
      </c>
    </row>
    <row r="239">
      <c r="A239" s="6" t="inlineStr">
        <is>
          <t>OBRA C/FORMENTERA, 12 (JOAQUIN)</t>
        </is>
      </c>
      <c r="B239" s="6" t="inlineStr">
        <is>
          <t>1.650,00</t>
        </is>
      </c>
      <c r="C239" s="6" t="inlineStr">
        <is>
          <t>04/06/2026</t>
        </is>
      </c>
      <c r="D239" s="6" t="inlineStr">
        <is>
          <t>CONTENEDOR</t>
        </is>
      </c>
      <c r="E239" s="6" t="inlineStr">
        <is>
          <t>CONTENEDORES Y EXCAVACIONES ASPE SL.</t>
        </is>
      </c>
      <c r="F239" s="6" t="inlineStr">
        <is>
          <t>IMPUTADO</t>
        </is>
      </c>
      <c r="G239" s="4" t="n">
        <v>230</v>
      </c>
    </row>
    <row r="240">
      <c r="A240" s="6" t="inlineStr">
        <is>
          <t>OBRA C/FORMENTERA, 12 (JOAQUIN)</t>
        </is>
      </c>
      <c r="B240" s="6" t="inlineStr">
        <is>
          <t>1.524,00</t>
        </is>
      </c>
      <c r="C240" s="6" t="inlineStr">
        <is>
          <t>06/05/2026</t>
        </is>
      </c>
      <c r="D240" s="6" t="inlineStr">
        <is>
          <t>CONTENEDOR #albañileria/contenedores</t>
        </is>
      </c>
      <c r="E240" s="6" t="inlineStr">
        <is>
          <t>CONTENEDORES Y EXCAVACIONES ASPE SL.</t>
        </is>
      </c>
      <c r="F240" s="6" t="inlineStr">
        <is>
          <t>IMPUTADO</t>
        </is>
      </c>
      <c r="G240" s="4" t="n">
        <v>230</v>
      </c>
    </row>
    <row r="241">
      <c r="A241" s="6" t="inlineStr">
        <is>
          <t>OBRA C/FORMENTERA, 12 (JOAQUIN)</t>
        </is>
      </c>
      <c r="B241" s="6" t="inlineStr">
        <is>
          <t>1.201,00</t>
        </is>
      </c>
      <c r="C241" s="6" t="inlineStr">
        <is>
          <t>02/04/2026</t>
        </is>
      </c>
      <c r="D241" s="6" t="inlineStr">
        <is>
          <t>GESTIÓN DE RESIDUOS</t>
        </is>
      </c>
      <c r="E241" s="6" t="inlineStr">
        <is>
          <t>CONTENEDORES Y EXCAVACIONES ASPE SL.</t>
        </is>
      </c>
      <c r="F241" s="6" t="inlineStr">
        <is>
          <t>IMPUTADO</t>
        </is>
      </c>
      <c r="G241" s="4" t="n">
        <v>230</v>
      </c>
    </row>
    <row r="242">
      <c r="A242" s="6" t="inlineStr">
        <is>
          <t>OBRA C/FORMENTERA, 12 (JOAQUIN)</t>
        </is>
      </c>
      <c r="B242" s="6" t="inlineStr">
        <is>
          <t>1.110,00</t>
        </is>
      </c>
      <c r="C242" s="6" t="inlineStr">
        <is>
          <t>12/03/2026</t>
        </is>
      </c>
      <c r="D242" s="6" t="inlineStr">
        <is>
          <t>CONTENEDORES</t>
        </is>
      </c>
      <c r="E242" s="6" t="inlineStr">
        <is>
          <t>CONTENEDORES Y EXCAVACIONES ASPE SL.</t>
        </is>
      </c>
      <c r="F242" s="6" t="inlineStr">
        <is>
          <t>IMPUTADO</t>
        </is>
      </c>
      <c r="G242" s="4" t="n">
        <v>230</v>
      </c>
    </row>
    <row r="243">
      <c r="A243" s="6" t="inlineStr">
        <is>
          <t>OBRA C/FORMENTERA, 12 (JOAQUIN)</t>
        </is>
      </c>
      <c r="B243" s="6" t="inlineStr">
        <is>
          <t>1.491,00</t>
        </is>
      </c>
      <c r="C243" s="6" t="inlineStr">
        <is>
          <t>28/04/2026</t>
        </is>
      </c>
      <c r="D243" s="6" t="inlineStr">
        <is>
          <t>PLATO DUCHA</t>
        </is>
      </c>
      <c r="E243" s="6" t="inlineStr">
        <is>
          <t>LEROY MERLIN ESPAÑA SL</t>
        </is>
      </c>
      <c r="F243" s="6" t="inlineStr">
        <is>
          <t>IMPUTADO</t>
        </is>
      </c>
      <c r="G243" s="4" t="n">
        <v>229.75</v>
      </c>
    </row>
    <row r="244">
      <c r="A244" s="6" t="inlineStr">
        <is>
          <t>OBRA C/FORMENTERA, 12 (JOAQUIN)</t>
        </is>
      </c>
      <c r="B244" s="6" t="inlineStr">
        <is>
          <t>381,00</t>
        </is>
      </c>
      <c r="C244" s="6" t="inlineStr"/>
      <c r="D244" s="6" t="inlineStr">
        <is>
          <t>DYWIDAD</t>
        </is>
      </c>
      <c r="E244" s="6" t="inlineStr"/>
      <c r="F244" s="6" t="inlineStr">
        <is>
          <t>SIN IMPUTAR</t>
        </is>
      </c>
      <c r="G244" s="4" t="n">
        <v>222.92</v>
      </c>
    </row>
    <row r="245">
      <c r="A245" s="6" t="inlineStr">
        <is>
          <t>OBRA C/FORMENTERA, 12 (JOAQUIN)</t>
        </is>
      </c>
      <c r="B245" s="6" t="inlineStr">
        <is>
          <t>379,00</t>
        </is>
      </c>
      <c r="C245" s="6" t="inlineStr"/>
      <c r="D245" s="6" t="inlineStr">
        <is>
          <t>EMPUMA Y CEMENTO</t>
        </is>
      </c>
      <c r="E245" s="6" t="inlineStr"/>
      <c r="F245" s="6" t="inlineStr">
        <is>
          <t>SIN IMPUTAR</t>
        </is>
      </c>
      <c r="G245" s="4" t="n">
        <v>220</v>
      </c>
    </row>
    <row r="246">
      <c r="A246" s="6" t="inlineStr">
        <is>
          <t>OBRA C/FORMENTERA, 12 (JOAQUIN)</t>
        </is>
      </c>
      <c r="B246" s="6" t="inlineStr">
        <is>
          <t>825,00</t>
        </is>
      </c>
      <c r="C246" s="6" t="inlineStr">
        <is>
          <t>24/02/2026</t>
        </is>
      </c>
      <c r="D246" s="6" t="inlineStr">
        <is>
          <t>MATERIAL OBRA #Albañileria- Material</t>
        </is>
      </c>
      <c r="E246" s="6" t="inlineStr">
        <is>
          <t>CONSYDECOR SL</t>
        </is>
      </c>
      <c r="F246" s="6" t="inlineStr">
        <is>
          <t>IMPUTADO</t>
        </is>
      </c>
      <c r="G246" s="4" t="n">
        <v>214.84</v>
      </c>
    </row>
    <row r="247">
      <c r="A247" s="6" t="inlineStr">
        <is>
          <t>OBRA C/FORMENTERA, 12 (JOAQUIN)</t>
        </is>
      </c>
      <c r="B247" s="6" t="inlineStr">
        <is>
          <t>302,00</t>
        </is>
      </c>
      <c r="C247" s="6" t="inlineStr">
        <is>
          <t>28/04/2026</t>
        </is>
      </c>
      <c r="D247" s="6" t="inlineStr">
        <is>
          <t>HORMIGON</t>
        </is>
      </c>
      <c r="E247" s="6" t="inlineStr"/>
      <c r="F247" s="6" t="inlineStr">
        <is>
          <t>IMPUTADO</t>
        </is>
      </c>
      <c r="G247" s="4" t="n">
        <v>213</v>
      </c>
    </row>
    <row r="248">
      <c r="A248" s="6" t="inlineStr">
        <is>
          <t>OBRA C/FORMENTERA, 12 (JOAQUIN)</t>
        </is>
      </c>
      <c r="B248" s="6" t="inlineStr">
        <is>
          <t>792,00</t>
        </is>
      </c>
      <c r="C248" s="6" t="inlineStr">
        <is>
          <t>24/02/2026</t>
        </is>
      </c>
      <c r="D248" s="6" t="inlineStr">
        <is>
          <t>KIT DUCHA OCULTO</t>
        </is>
      </c>
      <c r="E248" s="6" t="inlineStr">
        <is>
          <t>MATERIALES DE CONSTRUCCION MONOVAR SL</t>
        </is>
      </c>
      <c r="F248" s="6" t="inlineStr">
        <is>
          <t>IMPUTADO</t>
        </is>
      </c>
      <c r="G248" s="4" t="n">
        <v>206.22</v>
      </c>
    </row>
    <row r="249">
      <c r="A249" s="6" t="inlineStr">
        <is>
          <t>OBRA C/FORMENTERA, 12 (JOAQUIN)</t>
        </is>
      </c>
      <c r="B249" s="6" t="inlineStr">
        <is>
          <t>316,00</t>
        </is>
      </c>
      <c r="C249" s="6" t="inlineStr"/>
      <c r="D249" s="6" t="inlineStr">
        <is>
          <t>HIERRO PISCINA</t>
        </is>
      </c>
      <c r="E249" s="6" t="inlineStr"/>
      <c r="F249" s="6" t="inlineStr">
        <is>
          <t>SIN IMPUTAR</t>
        </is>
      </c>
      <c r="G249" s="4" t="n">
        <v>205.8</v>
      </c>
    </row>
    <row r="250">
      <c r="A250" s="6" t="inlineStr">
        <is>
          <t>OBRA C/FORMENTERA, 12 (JOAQUIN)</t>
        </is>
      </c>
      <c r="B250" s="6" t="inlineStr">
        <is>
          <t>1.765,00</t>
        </is>
      </c>
      <c r="C250" s="6" t="inlineStr">
        <is>
          <t>30/06/2026</t>
        </is>
      </c>
      <c r="D250" s="6" t="inlineStr">
        <is>
          <t>REPARACIÓN MORTERO HORRMIGON VISTO</t>
        </is>
      </c>
      <c r="E250" s="6" t="inlineStr">
        <is>
          <t>MATERIALES CANO SL</t>
        </is>
      </c>
      <c r="F250" s="6" t="inlineStr">
        <is>
          <t>IMPUTADO</t>
        </is>
      </c>
      <c r="G250" s="4" t="n">
        <v>198.75</v>
      </c>
    </row>
    <row r="251">
      <c r="A251" s="6" t="inlineStr">
        <is>
          <t>OBRA C/FORMENTERA, 12 (JOAQUIN)</t>
        </is>
      </c>
      <c r="B251" s="6" t="inlineStr">
        <is>
          <t>1.739,00</t>
        </is>
      </c>
      <c r="C251" s="6" t="inlineStr">
        <is>
          <t>23/06/2026</t>
        </is>
      </c>
      <c r="D251" s="6" t="inlineStr">
        <is>
          <t>PERFILES PLADUR OMEGA</t>
        </is>
      </c>
      <c r="E251" s="6" t="inlineStr">
        <is>
          <t>SAINT GOBAIN IDAPLAC SL</t>
        </is>
      </c>
      <c r="F251" s="6" t="inlineStr">
        <is>
          <t>IMPUTADO</t>
        </is>
      </c>
      <c r="G251" s="4" t="n">
        <v>196.2</v>
      </c>
    </row>
    <row r="252">
      <c r="A252" s="6" t="inlineStr">
        <is>
          <t>OBRA C/FORMENTERA, 12 (JOAQUIN)</t>
        </is>
      </c>
      <c r="B252" s="6" t="inlineStr">
        <is>
          <t>476,00</t>
        </is>
      </c>
      <c r="C252" s="6" t="inlineStr">
        <is>
          <t>24/02/2026</t>
        </is>
      </c>
      <c r="D252" s="6" t="inlineStr">
        <is>
          <t>GRUA</t>
        </is>
      </c>
      <c r="E252" s="6" t="inlineStr">
        <is>
          <t>GRUAS Y MAQUINARIA PETREL SL</t>
        </is>
      </c>
      <c r="F252" s="6" t="inlineStr">
        <is>
          <t>IMPUTADO</t>
        </is>
      </c>
      <c r="G252" s="4" t="n">
        <v>192.5</v>
      </c>
    </row>
    <row r="253">
      <c r="A253" s="6" t="inlineStr">
        <is>
          <t>OBRA C/FORMENTERA, 12 (JOAQUIN)</t>
        </is>
      </c>
      <c r="B253" s="6" t="inlineStr">
        <is>
          <t>1.851,00</t>
        </is>
      </c>
      <c r="C253" s="6" t="inlineStr">
        <is>
          <t>24/07/2026</t>
        </is>
      </c>
      <c r="D253" s="6" t="inlineStr">
        <is>
          <t>WEBER MORTERO</t>
        </is>
      </c>
      <c r="E253" s="6" t="inlineStr">
        <is>
          <t>SAINT GOBAIN IDAPLAC SL</t>
        </is>
      </c>
      <c r="F253" s="6" t="inlineStr">
        <is>
          <t>IMPUTADO</t>
        </is>
      </c>
      <c r="G253" s="4" t="n">
        <v>182.81</v>
      </c>
    </row>
    <row r="254">
      <c r="A254" s="6" t="inlineStr">
        <is>
          <t>OBRA C/FORMENTERA, 12 (JOAQUIN)</t>
        </is>
      </c>
      <c r="B254" s="6" t="inlineStr">
        <is>
          <t>1.575,00</t>
        </is>
      </c>
      <c r="C254" s="6" t="inlineStr">
        <is>
          <t>21/05/2026</t>
        </is>
      </c>
      <c r="D254" s="6" t="inlineStr">
        <is>
          <t>PINTURA</t>
        </is>
      </c>
      <c r="E254" s="6" t="inlineStr">
        <is>
          <t>PINTURAS IDELLA SL.</t>
        </is>
      </c>
      <c r="F254" s="6" t="inlineStr">
        <is>
          <t>IMPUTADO</t>
        </is>
      </c>
      <c r="G254" s="4" t="n">
        <v>171.05</v>
      </c>
    </row>
    <row r="255">
      <c r="A255" s="6" t="inlineStr">
        <is>
          <t>OBRA C/FORMENTERA, 12 (JOAQUIN)</t>
        </is>
      </c>
      <c r="B255" s="6" t="inlineStr">
        <is>
          <t>1.580,00</t>
        </is>
      </c>
      <c r="C255" s="6" t="inlineStr">
        <is>
          <t>11/06/2026</t>
        </is>
      </c>
      <c r="D255" s="6" t="inlineStr">
        <is>
          <t>LIMPIEZA SOLAR</t>
        </is>
      </c>
      <c r="E255" s="6" t="inlineStr">
        <is>
          <t>MARCOS GALIANO POVEDA</t>
        </is>
      </c>
      <c r="F255" s="6" t="inlineStr">
        <is>
          <t>IMPUTADO</t>
        </is>
      </c>
      <c r="G255" s="4" t="n">
        <v>170</v>
      </c>
    </row>
    <row r="256">
      <c r="A256" s="6" t="inlineStr">
        <is>
          <t>OBRA C/FORMENTERA, 12 (JOAQUIN)</t>
        </is>
      </c>
      <c r="B256" s="6" t="inlineStr">
        <is>
          <t>1.892,00</t>
        </is>
      </c>
      <c r="C256" s="6" t="inlineStr">
        <is>
          <t>31/08/2026</t>
        </is>
      </c>
      <c r="D256" s="6" t="inlineStr">
        <is>
          <t>MATERIAL</t>
        </is>
      </c>
      <c r="E256" s="6" t="inlineStr">
        <is>
          <t>CONSYDECOR SL</t>
        </is>
      </c>
      <c r="F256" s="6" t="inlineStr">
        <is>
          <t>IMPUTADO</t>
        </is>
      </c>
      <c r="G256" s="4" t="n">
        <v>167.69</v>
      </c>
    </row>
    <row r="257">
      <c r="A257" s="6" t="inlineStr">
        <is>
          <t>OBRA C/FORMENTERA, 12 (JOAQUIN)</t>
        </is>
      </c>
      <c r="B257" s="6" t="inlineStr">
        <is>
          <t>600,00</t>
        </is>
      </c>
      <c r="C257" s="6" t="inlineStr">
        <is>
          <t>04/03/2026</t>
        </is>
      </c>
      <c r="D257" s="6" t="inlineStr">
        <is>
          <t>REPISAS</t>
        </is>
      </c>
      <c r="E257" s="6" t="inlineStr">
        <is>
          <t>PEREA LOPEZ STONE SL.</t>
        </is>
      </c>
      <c r="F257" s="6" t="inlineStr">
        <is>
          <t>IMPUTADO</t>
        </is>
      </c>
      <c r="G257" s="4" t="n">
        <v>156.79</v>
      </c>
    </row>
    <row r="258">
      <c r="A258" s="6" t="inlineStr">
        <is>
          <t>OBRA C/FORMENTERA, 12 (JOAQUIN)</t>
        </is>
      </c>
      <c r="B258" s="6" t="inlineStr">
        <is>
          <t>1.783,00</t>
        </is>
      </c>
      <c r="C258" s="6" t="inlineStr">
        <is>
          <t>10/07/2026</t>
        </is>
      </c>
      <c r="D258" s="6" t="inlineStr">
        <is>
          <t>MATERIAL OBRA</t>
        </is>
      </c>
      <c r="E258" s="6" t="inlineStr">
        <is>
          <t>CONSYDECOR SL</t>
        </is>
      </c>
      <c r="F258" s="6" t="inlineStr">
        <is>
          <t>IMPUTADO</t>
        </is>
      </c>
      <c r="G258" s="4" t="n">
        <v>156.31</v>
      </c>
    </row>
    <row r="259">
      <c r="A259" s="6" t="inlineStr">
        <is>
          <t>OBRA C/FORMENTERA, 12 (JOAQUIN)</t>
        </is>
      </c>
      <c r="B259" s="6" t="inlineStr">
        <is>
          <t>1.848,00</t>
        </is>
      </c>
      <c r="C259" s="6" t="inlineStr">
        <is>
          <t>24/07/2026</t>
        </is>
      </c>
      <c r="D259" s="6" t="inlineStr">
        <is>
          <t>PERFIL PVC</t>
        </is>
      </c>
      <c r="E259" s="6" t="inlineStr">
        <is>
          <t>SAINT GOBAIN IDAPLAC SL</t>
        </is>
      </c>
      <c r="F259" s="6" t="inlineStr">
        <is>
          <t>IMPUTADO</t>
        </is>
      </c>
      <c r="G259" s="4" t="n">
        <v>154.35</v>
      </c>
    </row>
    <row r="260">
      <c r="A260" s="6" t="inlineStr">
        <is>
          <t>OBRA C/FORMENTERA, 12 (JOAQUIN)</t>
        </is>
      </c>
      <c r="B260" s="6" t="inlineStr">
        <is>
          <t>1.731,00</t>
        </is>
      </c>
      <c r="C260" s="6" t="inlineStr">
        <is>
          <t>10/07/2026</t>
        </is>
      </c>
      <c r="D260" s="6" t="inlineStr">
        <is>
          <t>MATERIAL OBRA</t>
        </is>
      </c>
      <c r="E260" s="6" t="inlineStr">
        <is>
          <t>CONSYDECOR SL</t>
        </is>
      </c>
      <c r="F260" s="6" t="inlineStr">
        <is>
          <t>IMPUTADO</t>
        </is>
      </c>
      <c r="G260" s="4" t="n">
        <v>152.63</v>
      </c>
    </row>
    <row r="261">
      <c r="A261" s="6" t="inlineStr">
        <is>
          <t>OBRA C/FORMENTERA, 12 (JOAQUIN)</t>
        </is>
      </c>
      <c r="B261" s="6" t="inlineStr">
        <is>
          <t>1.896,00</t>
        </is>
      </c>
      <c r="C261" s="6" t="inlineStr"/>
      <c r="D261" s="6" t="inlineStr">
        <is>
          <t>WEBER FACHADA</t>
        </is>
      </c>
      <c r="E261" s="6" t="inlineStr">
        <is>
          <t>SAINT GOBAIN IDAPLAC SL</t>
        </is>
      </c>
      <c r="F261" s="6" t="inlineStr">
        <is>
          <t>SIN IMPUTAR</t>
        </is>
      </c>
      <c r="G261" s="4" t="n">
        <v>-152.34</v>
      </c>
    </row>
    <row r="262">
      <c r="A262" s="6" t="inlineStr">
        <is>
          <t>OBRA C/FORMENTERA, 12 (JOAQUIN)</t>
        </is>
      </c>
      <c r="B262" s="6" t="inlineStr">
        <is>
          <t>365,00</t>
        </is>
      </c>
      <c r="C262" s="6" t="inlineStr"/>
      <c r="D262" s="6" t="inlineStr">
        <is>
          <t>TABLONES</t>
        </is>
      </c>
      <c r="E262" s="6" t="inlineStr"/>
      <c r="F262" s="6" t="inlineStr">
        <is>
          <t>SIN IMPUTAR</t>
        </is>
      </c>
      <c r="G262" s="4" t="n">
        <v>151.78</v>
      </c>
    </row>
    <row r="263">
      <c r="A263" s="6" t="inlineStr">
        <is>
          <t>OBRA C/FORMENTERA, 12 (JOAQUIN)</t>
        </is>
      </c>
      <c r="B263" s="6" t="inlineStr">
        <is>
          <t>338,00</t>
        </is>
      </c>
      <c r="C263" s="6" t="inlineStr"/>
      <c r="D263" s="6" t="inlineStr">
        <is>
          <t>TOMA DE MUESTRAS</t>
        </is>
      </c>
      <c r="E263" s="6" t="inlineStr"/>
      <c r="F263" s="6" t="inlineStr">
        <is>
          <t>SIN IMPUTAR</t>
        </is>
      </c>
      <c r="G263" s="4" t="n">
        <v>150</v>
      </c>
    </row>
    <row r="264">
      <c r="A264" s="6" t="inlineStr">
        <is>
          <t>OBRA C/FORMENTERA, 12 (JOAQUIN)</t>
        </is>
      </c>
      <c r="B264" s="6" t="inlineStr">
        <is>
          <t>371,00</t>
        </is>
      </c>
      <c r="C264" s="6" t="inlineStr"/>
      <c r="D264" s="6" t="inlineStr">
        <is>
          <t>PLÁSTICO NEGRO</t>
        </is>
      </c>
      <c r="E264" s="6" t="inlineStr"/>
      <c r="F264" s="6" t="inlineStr">
        <is>
          <t>SIN IMPUTAR</t>
        </is>
      </c>
      <c r="G264" s="4" t="n">
        <v>148.4</v>
      </c>
    </row>
    <row r="265">
      <c r="A265" s="6" t="inlineStr">
        <is>
          <t>OBRA C/FORMENTERA, 12 (JOAQUIN)</t>
        </is>
      </c>
      <c r="B265" s="6" t="inlineStr">
        <is>
          <t>1.241,00</t>
        </is>
      </c>
      <c r="C265" s="6" t="inlineStr">
        <is>
          <t>28/04/2026</t>
        </is>
      </c>
      <c r="D265" s="6" t="inlineStr">
        <is>
          <t>GRUA MOVER MATERIAL #albañileria</t>
        </is>
      </c>
      <c r="E265" s="6" t="inlineStr">
        <is>
          <t>CONSYDECOR SL</t>
        </is>
      </c>
      <c r="F265" s="6" t="inlineStr">
        <is>
          <t>IMPUTADO</t>
        </is>
      </c>
      <c r="G265" s="4" t="n">
        <v>130</v>
      </c>
    </row>
    <row r="266">
      <c r="A266" s="6" t="inlineStr">
        <is>
          <t>OBRA C/FORMENTERA, 12 (JOAQUIN)</t>
        </is>
      </c>
      <c r="B266" s="6" t="inlineStr">
        <is>
          <t>418,00</t>
        </is>
      </c>
      <c r="C266" s="6" t="inlineStr">
        <is>
          <t>06/03/2026</t>
        </is>
      </c>
      <c r="D266" s="6" t="inlineStr">
        <is>
          <t>SEPARADOR HORMIGON</t>
        </is>
      </c>
      <c r="E266" s="6" t="inlineStr"/>
      <c r="F266" s="6" t="inlineStr">
        <is>
          <t>IMPUTADO</t>
        </is>
      </c>
      <c r="G266" s="4" t="n">
        <v>125.6</v>
      </c>
    </row>
    <row r="267">
      <c r="A267" s="6" t="inlineStr">
        <is>
          <t>OBRA C/FORMENTERA, 12 (JOAQUIN)</t>
        </is>
      </c>
      <c r="B267" s="6" t="inlineStr">
        <is>
          <t>1.717,00</t>
        </is>
      </c>
      <c r="C267" s="6" t="inlineStr">
        <is>
          <t>16/06/2026</t>
        </is>
      </c>
      <c r="D267" s="6" t="inlineStr">
        <is>
          <t>COLECTO ACOMETIDA</t>
        </is>
      </c>
      <c r="E267" s="6" t="inlineStr">
        <is>
          <t>SALTOKI ALICANTE SL.</t>
        </is>
      </c>
      <c r="F267" s="6" t="inlineStr">
        <is>
          <t>IMPUTADO</t>
        </is>
      </c>
      <c r="G267" s="4" t="n">
        <v>122.61</v>
      </c>
    </row>
    <row r="268">
      <c r="A268" s="6" t="inlineStr">
        <is>
          <t>OBRA C/FORMENTERA, 12 (JOAQUIN)</t>
        </is>
      </c>
      <c r="B268" s="6" t="inlineStr">
        <is>
          <t>1.277,00</t>
        </is>
      </c>
      <c r="C268" s="6" t="inlineStr">
        <is>
          <t>11/06/2026</t>
        </is>
      </c>
      <c r="D268" s="6" t="inlineStr">
        <is>
          <t>PORTES SALTOKI</t>
        </is>
      </c>
      <c r="E268" s="6" t="inlineStr">
        <is>
          <t>SALTOKI ELCHE SL.</t>
        </is>
      </c>
      <c r="F268" s="6" t="inlineStr">
        <is>
          <t>IMPUTADO</t>
        </is>
      </c>
      <c r="G268" s="4" t="n">
        <v>114.75</v>
      </c>
    </row>
    <row r="269">
      <c r="A269" s="6" t="inlineStr">
        <is>
          <t>OBRA C/FORMENTERA, 12 (JOAQUIN)</t>
        </is>
      </c>
      <c r="B269" s="6" t="inlineStr">
        <is>
          <t>399,00</t>
        </is>
      </c>
      <c r="C269" s="6" t="inlineStr">
        <is>
          <t>28/04/2026</t>
        </is>
      </c>
      <c r="D269" s="6" t="inlineStr">
        <is>
          <t>TUERCAS CHAPAS MURO</t>
        </is>
      </c>
      <c r="E269" s="6" t="inlineStr"/>
      <c r="F269" s="6" t="inlineStr">
        <is>
          <t>IMPUTADO</t>
        </is>
      </c>
      <c r="G269" s="4" t="n">
        <v>112.36</v>
      </c>
    </row>
    <row r="270">
      <c r="A270" s="6" t="inlineStr">
        <is>
          <t>OBRA C/FORMENTERA, 12 (JOAQUIN)</t>
        </is>
      </c>
      <c r="B270" s="6" t="inlineStr">
        <is>
          <t>1.837,00</t>
        </is>
      </c>
      <c r="C270" s="6" t="inlineStr">
        <is>
          <t>24/07/2026</t>
        </is>
      </c>
      <c r="D270" s="6" t="inlineStr">
        <is>
          <t>MATERIAL OBRA</t>
        </is>
      </c>
      <c r="E270" s="6" t="inlineStr">
        <is>
          <t>CONSYDECOR SL</t>
        </is>
      </c>
      <c r="F270" s="6" t="inlineStr">
        <is>
          <t>IMPUTADO</t>
        </is>
      </c>
      <c r="G270" s="4" t="n">
        <v>101.85</v>
      </c>
    </row>
    <row r="271">
      <c r="A271" s="6" t="inlineStr">
        <is>
          <t>OBRA C/FORMENTERA, 12 (JOAQUIN)</t>
        </is>
      </c>
      <c r="B271" s="6" t="inlineStr">
        <is>
          <t>1.791,00</t>
        </is>
      </c>
      <c r="C271" s="6" t="inlineStr">
        <is>
          <t>13/07/2026</t>
        </is>
      </c>
      <c r="D271" s="6" t="inlineStr">
        <is>
          <t>RAIL - MONTAJE</t>
        </is>
      </c>
      <c r="E271" s="6" t="inlineStr">
        <is>
          <t>SAINT GOBAIN IDAPLAC SL</t>
        </is>
      </c>
      <c r="F271" s="6" t="inlineStr">
        <is>
          <t>IMPUTADO</t>
        </is>
      </c>
      <c r="G271" s="4" t="n">
        <v>99.11</v>
      </c>
    </row>
    <row r="272">
      <c r="A272" s="6" t="inlineStr">
        <is>
          <t>OBRA C/FORMENTERA, 12 (JOAQUIN)</t>
        </is>
      </c>
      <c r="B272" s="6" t="inlineStr">
        <is>
          <t>1.770,00</t>
        </is>
      </c>
      <c r="C272" s="6" t="inlineStr">
        <is>
          <t>10/07/2026</t>
        </is>
      </c>
      <c r="D272" s="6" t="inlineStr">
        <is>
          <t>HORMIPRES RESINA HORMIGON</t>
        </is>
      </c>
      <c r="E272" s="6" t="inlineStr">
        <is>
          <t>SANZ BUILDING 2000 SL</t>
        </is>
      </c>
      <c r="F272" s="6" t="inlineStr">
        <is>
          <t>IMPUTADO</t>
        </is>
      </c>
      <c r="G272" s="4" t="n">
        <v>98</v>
      </c>
    </row>
    <row r="273">
      <c r="A273" s="6" t="inlineStr">
        <is>
          <t>OBRA C/FORMENTERA, 12 (JOAQUIN)</t>
        </is>
      </c>
      <c r="B273" s="6" t="inlineStr">
        <is>
          <t>824,00</t>
        </is>
      </c>
      <c r="C273" s="6" t="inlineStr">
        <is>
          <t>24/02/2026</t>
        </is>
      </c>
      <c r="D273" s="6" t="inlineStr">
        <is>
          <t>MATERIAL OBRA #Albañileria-Material</t>
        </is>
      </c>
      <c r="E273" s="6" t="inlineStr">
        <is>
          <t>CONSYDECOR SL</t>
        </is>
      </c>
      <c r="F273" s="6" t="inlineStr">
        <is>
          <t>IMPUTADO</t>
        </is>
      </c>
      <c r="G273" s="4" t="n">
        <v>90.19</v>
      </c>
    </row>
    <row r="274">
      <c r="A274" s="6" t="inlineStr">
        <is>
          <t>OBRA C/FORMENTERA, 12 (JOAQUIN)</t>
        </is>
      </c>
      <c r="B274" s="6" t="inlineStr">
        <is>
          <t>378,00</t>
        </is>
      </c>
      <c r="C274" s="6" t="inlineStr"/>
      <c r="D274" s="6" t="inlineStr">
        <is>
          <t>LAMINA DRENAJE</t>
        </is>
      </c>
      <c r="E274" s="6" t="inlineStr"/>
      <c r="F274" s="6" t="inlineStr">
        <is>
          <t>SIN IMPUTAR</t>
        </is>
      </c>
      <c r="G274" s="4" t="n">
        <v>88.76000000000001</v>
      </c>
    </row>
    <row r="275">
      <c r="A275" s="6" t="inlineStr">
        <is>
          <t>OBRA C/FORMENTERA, 12 (JOAQUIN)</t>
        </is>
      </c>
      <c r="B275" s="6" t="inlineStr">
        <is>
          <t>416,00</t>
        </is>
      </c>
      <c r="C275" s="6" t="inlineStr">
        <is>
          <t>06/03/2026</t>
        </is>
      </c>
      <c r="D275" s="6" t="inlineStr">
        <is>
          <t>GAS PISTOLA</t>
        </is>
      </c>
      <c r="E275" s="6" t="inlineStr">
        <is>
          <t>WURTH ESPAÑA SA</t>
        </is>
      </c>
      <c r="F275" s="6" t="inlineStr">
        <is>
          <t>IMPUTADO</t>
        </is>
      </c>
      <c r="G275" s="4" t="n">
        <v>81.28</v>
      </c>
    </row>
    <row r="276">
      <c r="A276" s="6" t="inlineStr">
        <is>
          <t>OBRA C/FORMENTERA, 12 (JOAQUIN)</t>
        </is>
      </c>
      <c r="B276" s="6" t="inlineStr">
        <is>
          <t>401,00</t>
        </is>
      </c>
      <c r="C276" s="6" t="inlineStr">
        <is>
          <t>28/04/2026</t>
        </is>
      </c>
      <c r="D276" s="6" t="inlineStr">
        <is>
          <t>SIKA DEENCOFRANTE</t>
        </is>
      </c>
      <c r="E276" s="6" t="inlineStr"/>
      <c r="F276" s="6" t="inlineStr">
        <is>
          <t>IMPUTADO</t>
        </is>
      </c>
      <c r="G276" s="4" t="n">
        <v>74.59999999999999</v>
      </c>
    </row>
    <row r="277">
      <c r="A277" s="6" t="inlineStr">
        <is>
          <t>OBRA C/FORMENTERA, 12 (JOAQUIN)</t>
        </is>
      </c>
      <c r="B277" s="6" t="inlineStr">
        <is>
          <t>1.788,00</t>
        </is>
      </c>
      <c r="C277" s="6" t="inlineStr">
        <is>
          <t>10/07/2026</t>
        </is>
      </c>
      <c r="D277" s="6" t="inlineStr">
        <is>
          <t>PINTURA</t>
        </is>
      </c>
      <c r="E277" s="6" t="inlineStr">
        <is>
          <t>DECOBRIC SANZ SL</t>
        </is>
      </c>
      <c r="F277" s="6" t="inlineStr">
        <is>
          <t>IMPUTADO</t>
        </is>
      </c>
      <c r="G277" s="4" t="n">
        <v>64.79000000000001</v>
      </c>
    </row>
    <row r="278">
      <c r="A278" s="6" t="inlineStr">
        <is>
          <t>OBRA C/FORMENTERA, 12 (JOAQUIN)</t>
        </is>
      </c>
      <c r="B278" s="6" t="inlineStr">
        <is>
          <t>1.853,00</t>
        </is>
      </c>
      <c r="C278" s="6" t="inlineStr">
        <is>
          <t>26/08/2026</t>
        </is>
      </c>
      <c r="D278" s="6" t="inlineStr">
        <is>
          <t>MALLAZO JOAQUIN</t>
        </is>
      </c>
      <c r="E278" s="6" t="inlineStr">
        <is>
          <t>FERRALLAS MONFORTE DEL CID SL.</t>
        </is>
      </c>
      <c r="F278" s="6" t="inlineStr">
        <is>
          <t>IMPUTADO</t>
        </is>
      </c>
      <c r="G278" s="4" t="n">
        <v>60.72</v>
      </c>
    </row>
    <row r="279">
      <c r="A279" s="6" t="inlineStr">
        <is>
          <t>OBRA C/FORMENTERA, 12 (JOAQUIN)</t>
        </is>
      </c>
      <c r="B279" s="6" t="inlineStr">
        <is>
          <t>1.723,00</t>
        </is>
      </c>
      <c r="C279" s="6" t="inlineStr">
        <is>
          <t>16/06/2026</t>
        </is>
      </c>
      <c r="D279" s="6" t="inlineStr">
        <is>
          <t>PINTURA</t>
        </is>
      </c>
      <c r="E279" s="6" t="inlineStr">
        <is>
          <t>DECOBRIC SANZ SL</t>
        </is>
      </c>
      <c r="F279" s="6" t="inlineStr">
        <is>
          <t>IMPUTADO</t>
        </is>
      </c>
      <c r="G279" s="4" t="n">
        <v>53.13</v>
      </c>
    </row>
    <row r="280">
      <c r="A280" s="6" t="inlineStr">
        <is>
          <t>OBRA C/FORMENTERA, 12 (JOAQUIN)</t>
        </is>
      </c>
      <c r="B280" s="6" t="inlineStr">
        <is>
          <t>1.724,00</t>
        </is>
      </c>
      <c r="C280" s="6" t="inlineStr">
        <is>
          <t>16/06/2026</t>
        </is>
      </c>
      <c r="D280" s="6" t="inlineStr">
        <is>
          <t>MUESTRAS PINTURA</t>
        </is>
      </c>
      <c r="E280" s="6" t="inlineStr">
        <is>
          <t>DECOBRIC SANZ SL</t>
        </is>
      </c>
      <c r="F280" s="6" t="inlineStr">
        <is>
          <t>IMPUTADO</t>
        </is>
      </c>
      <c r="G280" s="4" t="n">
        <v>50.89</v>
      </c>
    </row>
    <row r="281">
      <c r="A281" s="6" t="inlineStr">
        <is>
          <t>OBRA C/FORMENTERA, 12 (JOAQUIN)</t>
        </is>
      </c>
      <c r="B281" s="6" t="inlineStr">
        <is>
          <t>1.603,00</t>
        </is>
      </c>
      <c r="C281" s="6" t="inlineStr">
        <is>
          <t>05/06/2026</t>
        </is>
      </c>
      <c r="D281" s="6" t="inlineStr">
        <is>
          <t>MORTERO REFRACTARIO</t>
        </is>
      </c>
      <c r="E281" s="6" t="inlineStr">
        <is>
          <t>CONSYDECOR SL</t>
        </is>
      </c>
      <c r="F281" s="6" t="inlineStr">
        <is>
          <t>IMPUTADO</t>
        </is>
      </c>
      <c r="G281" s="4" t="n">
        <v>48.81</v>
      </c>
    </row>
    <row r="282">
      <c r="A282" s="6" t="inlineStr">
        <is>
          <t>OBRA C/FORMENTERA, 12 (JOAQUIN)</t>
        </is>
      </c>
      <c r="B282" s="6" t="inlineStr">
        <is>
          <t>391,00</t>
        </is>
      </c>
      <c r="C282" s="6" t="inlineStr">
        <is>
          <t>10/07/2026</t>
        </is>
      </c>
      <c r="D282" s="6" t="inlineStr">
        <is>
          <t>ARMARIO AGUA POLIESTER</t>
        </is>
      </c>
      <c r="E282" s="6" t="inlineStr">
        <is>
          <t>SALTOKI ALICANTE SL.</t>
        </is>
      </c>
      <c r="F282" s="6" t="inlineStr">
        <is>
          <t>IMPUTADO</t>
        </is>
      </c>
      <c r="G282" s="4" t="n">
        <v>48.38</v>
      </c>
    </row>
    <row r="283">
      <c r="A283" s="6" t="inlineStr">
        <is>
          <t>OBRA C/FORMENTERA, 12 (JOAQUIN)</t>
        </is>
      </c>
      <c r="B283" s="6" t="inlineStr">
        <is>
          <t>1.737,00</t>
        </is>
      </c>
      <c r="C283" s="6" t="inlineStr">
        <is>
          <t>19/06/2026</t>
        </is>
      </c>
      <c r="D283" s="6" t="inlineStr">
        <is>
          <t>MATERIAL PINTURA</t>
        </is>
      </c>
      <c r="E283" s="6" t="inlineStr">
        <is>
          <t>BRICOLAJE BRICOMAN SLU</t>
        </is>
      </c>
      <c r="F283" s="6" t="inlineStr">
        <is>
          <t>IMPUTADO</t>
        </is>
      </c>
      <c r="G283" s="4" t="n">
        <v>45.91</v>
      </c>
    </row>
    <row r="284">
      <c r="A284" s="6" t="inlineStr">
        <is>
          <t>OBRA C/FORMENTERA, 12 (JOAQUIN)</t>
        </is>
      </c>
      <c r="B284" s="6" t="inlineStr">
        <is>
          <t>1.813,00</t>
        </is>
      </c>
      <c r="C284" s="6" t="inlineStr">
        <is>
          <t>14/07/2026</t>
        </is>
      </c>
      <c r="D284" s="6" t="inlineStr">
        <is>
          <t>CARTON</t>
        </is>
      </c>
      <c r="E284" s="6" t="inlineStr">
        <is>
          <t>SAINT GOBAIN IDAPLAC SL</t>
        </is>
      </c>
      <c r="F284" s="6" t="inlineStr">
        <is>
          <t>IMPUTADO</t>
        </is>
      </c>
      <c r="G284" s="4" t="n">
        <v>40.36</v>
      </c>
    </row>
    <row r="285">
      <c r="A285" s="6" t="inlineStr">
        <is>
          <t>OBRA C/FORMENTERA, 12 (JOAQUIN)</t>
        </is>
      </c>
      <c r="B285" s="6" t="inlineStr">
        <is>
          <t>1.773,00</t>
        </is>
      </c>
      <c r="C285" s="6" t="inlineStr">
        <is>
          <t>10/07/2026</t>
        </is>
      </c>
      <c r="D285" s="6" t="inlineStr">
        <is>
          <t>PISON COMPACTADOR GASOLINA</t>
        </is>
      </c>
      <c r="E285" s="6" t="inlineStr">
        <is>
          <t>LOXAM ALQUILER DE MAQUINARIA SL.</t>
        </is>
      </c>
      <c r="F285" s="6" t="inlineStr">
        <is>
          <t>IMPUTADO</t>
        </is>
      </c>
      <c r="G285" s="4" t="n">
        <v>35.6</v>
      </c>
    </row>
    <row r="286">
      <c r="A286" s="6" t="inlineStr">
        <is>
          <t>OBRA C/FORMENTERA, 12 (JOAQUIN)</t>
        </is>
      </c>
      <c r="B286" s="6" t="inlineStr">
        <is>
          <t>1.713,00</t>
        </is>
      </c>
      <c r="C286" s="6" t="inlineStr">
        <is>
          <t>16/06/2026</t>
        </is>
      </c>
      <c r="D286" s="6" t="inlineStr">
        <is>
          <t>PRODUCTOS LIMPIEZA</t>
        </is>
      </c>
      <c r="E286" s="6" t="inlineStr">
        <is>
          <t>IDELLA PLACE SL.</t>
        </is>
      </c>
      <c r="F286" s="6" t="inlineStr">
        <is>
          <t>IMPUTADO</t>
        </is>
      </c>
      <c r="G286" s="4" t="n">
        <v>34.98</v>
      </c>
    </row>
    <row r="287">
      <c r="A287" s="6" t="inlineStr">
        <is>
          <t>OBRA C/FORMENTERA, 12 (JOAQUIN)</t>
        </is>
      </c>
      <c r="B287" s="6" t="inlineStr">
        <is>
          <t>478,00</t>
        </is>
      </c>
      <c r="C287" s="6" t="inlineStr">
        <is>
          <t>02/04/2026</t>
        </is>
      </c>
      <c r="D287" s="6" t="inlineStr">
        <is>
          <t>MATERIAL</t>
        </is>
      </c>
      <c r="E287" s="6" t="inlineStr">
        <is>
          <t>MARIA DOLORES ALDEGUER CANO</t>
        </is>
      </c>
      <c r="F287" s="6" t="inlineStr">
        <is>
          <t>IMPUTADO</t>
        </is>
      </c>
      <c r="G287" s="4" t="n">
        <v>32.75</v>
      </c>
    </row>
    <row r="288">
      <c r="A288" s="6" t="inlineStr">
        <is>
          <t>OBRA C/FORMENTERA, 12 (JOAQUIN)</t>
        </is>
      </c>
      <c r="B288" s="6" t="inlineStr">
        <is>
          <t>1.849,00</t>
        </is>
      </c>
      <c r="C288" s="6" t="inlineStr">
        <is>
          <t>26/08/2026</t>
        </is>
      </c>
      <c r="D288" s="6" t="inlineStr">
        <is>
          <t>TAPA RELLENABLE</t>
        </is>
      </c>
      <c r="E288" s="6" t="inlineStr">
        <is>
          <t>HIJOS DE JOSE BUSQUIER SL</t>
        </is>
      </c>
      <c r="F288" s="6" t="inlineStr">
        <is>
          <t>IMPUTADO</t>
        </is>
      </c>
      <c r="G288" s="4" t="n">
        <v>30.75</v>
      </c>
    </row>
    <row r="289">
      <c r="A289" s="6" t="inlineStr">
        <is>
          <t>OBRA C/FORMENTERA, 12 (JOAQUIN)</t>
        </is>
      </c>
      <c r="B289" s="6" t="inlineStr">
        <is>
          <t>1.880,00</t>
        </is>
      </c>
      <c r="C289" s="6" t="inlineStr">
        <is>
          <t>26/08/2026</t>
        </is>
      </c>
      <c r="D289" s="6" t="inlineStr">
        <is>
          <t>PINTURA</t>
        </is>
      </c>
      <c r="E289" s="6" t="inlineStr">
        <is>
          <t>SANZ BUILDING 2000 SL</t>
        </is>
      </c>
      <c r="F289" s="6" t="inlineStr">
        <is>
          <t>IMPUTADO</t>
        </is>
      </c>
      <c r="G289" s="4" t="n">
        <v>28.99</v>
      </c>
    </row>
    <row r="290">
      <c r="A290" s="6" t="inlineStr">
        <is>
          <t>OBRA C/FORMENTERA, 12 (JOAQUIN)</t>
        </is>
      </c>
      <c r="B290" s="6" t="inlineStr">
        <is>
          <t>1.778,00</t>
        </is>
      </c>
      <c r="C290" s="6" t="inlineStr">
        <is>
          <t>03/07/2026</t>
        </is>
      </c>
      <c r="D290" s="6" t="inlineStr">
        <is>
          <t>MORTERO</t>
        </is>
      </c>
      <c r="E290" s="6" t="inlineStr">
        <is>
          <t>SAINT GOBAIN IDAPLAC SL</t>
        </is>
      </c>
      <c r="F290" s="6" t="inlineStr">
        <is>
          <t>IMPUTADO</t>
        </is>
      </c>
      <c r="G290" s="4" t="n">
        <v>27.57</v>
      </c>
    </row>
    <row r="291">
      <c r="A291" s="6" t="inlineStr">
        <is>
          <t>OBRA C/FORMENTERA, 12 (JOAQUIN)</t>
        </is>
      </c>
      <c r="B291" s="6" t="inlineStr">
        <is>
          <t>1.844,00</t>
        </is>
      </c>
      <c r="C291" s="6" t="inlineStr">
        <is>
          <t>26/08/2026</t>
        </is>
      </c>
      <c r="D291" s="6" t="inlineStr">
        <is>
          <t>REGISTRP GALVANIZADO</t>
        </is>
      </c>
      <c r="E291" s="6" t="inlineStr">
        <is>
          <t>HIJOS DE JOSE BUSQUIER SL</t>
        </is>
      </c>
      <c r="F291" s="6" t="inlineStr">
        <is>
          <t>IMPUTADO</t>
        </is>
      </c>
      <c r="G291" s="4" t="n">
        <v>25.45</v>
      </c>
    </row>
    <row r="292">
      <c r="A292" s="6" t="inlineStr">
        <is>
          <t>OBRA C/FORMENTERA, 12 (JOAQUIN)</t>
        </is>
      </c>
      <c r="B292" s="6" t="inlineStr">
        <is>
          <t>369,00</t>
        </is>
      </c>
      <c r="C292" s="6" t="inlineStr"/>
      <c r="D292" s="6" t="inlineStr">
        <is>
          <t>MALLA SEÑALIZACION</t>
        </is>
      </c>
      <c r="E292" s="6" t="inlineStr"/>
      <c r="F292" s="6" t="inlineStr">
        <is>
          <t>SIN IMPUTAR</t>
        </is>
      </c>
      <c r="G292" s="4" t="n">
        <v>20.25</v>
      </c>
    </row>
    <row r="293">
      <c r="A293" s="6" t="inlineStr">
        <is>
          <t>OBRA C/FORMENTERA, 12 (JOAQUIN)</t>
        </is>
      </c>
      <c r="B293" s="6" t="inlineStr">
        <is>
          <t>1.675,00</t>
        </is>
      </c>
      <c r="C293" s="6" t="inlineStr">
        <is>
          <t>11/06/2026</t>
        </is>
      </c>
      <c r="D293" s="6" t="inlineStr">
        <is>
          <t>BROCAS HIERRO</t>
        </is>
      </c>
      <c r="E293" s="6" t="inlineStr"/>
      <c r="F293" s="6" t="inlineStr">
        <is>
          <t>IMPUTADO</t>
        </is>
      </c>
      <c r="G293" s="4" t="n">
        <v>20.17</v>
      </c>
    </row>
    <row r="294">
      <c r="A294" s="6" t="inlineStr">
        <is>
          <t>OBRA C/FORMENTERA, 12 (JOAQUIN)</t>
        </is>
      </c>
      <c r="B294" s="6" t="inlineStr">
        <is>
          <t>1.742,00</t>
        </is>
      </c>
      <c r="C294" s="6" t="inlineStr">
        <is>
          <t>23/06/2026</t>
        </is>
      </c>
      <c r="D294" s="6" t="inlineStr">
        <is>
          <t>PVC DESAGÜES</t>
        </is>
      </c>
      <c r="E294" s="6" t="inlineStr">
        <is>
          <t>LEROY MERLIN ESPAÑA SL</t>
        </is>
      </c>
      <c r="F294" s="6" t="inlineStr">
        <is>
          <t>IMPUTADO</t>
        </is>
      </c>
      <c r="G294" s="4" t="n">
        <v>15.57</v>
      </c>
    </row>
    <row r="295">
      <c r="A295" s="6" t="inlineStr">
        <is>
          <t>OBRA C/FORMENTERA, 12 (JOAQUIN)</t>
        </is>
      </c>
      <c r="B295" s="6" t="inlineStr">
        <is>
          <t>1.890,00</t>
        </is>
      </c>
      <c r="C295" s="6" t="inlineStr">
        <is>
          <t>31/08/2026</t>
        </is>
      </c>
      <c r="D295" s="6" t="inlineStr">
        <is>
          <t>PLADUR</t>
        </is>
      </c>
      <c r="E295" s="6" t="inlineStr">
        <is>
          <t>CONSYDECOR SL</t>
        </is>
      </c>
      <c r="F295" s="6" t="inlineStr">
        <is>
          <t>IMPUTADO</t>
        </is>
      </c>
      <c r="G295" s="4" t="n">
        <v>14.41</v>
      </c>
    </row>
    <row r="296">
      <c r="A296" s="6" t="inlineStr">
        <is>
          <t>OBRA C/FORMENTERA, 12 (JOAQUIN)</t>
        </is>
      </c>
      <c r="B296" s="6" t="inlineStr">
        <is>
          <t>1.608,00</t>
        </is>
      </c>
      <c r="C296" s="6" t="inlineStr">
        <is>
          <t>05/06/2026</t>
        </is>
      </c>
      <c r="D296" s="6" t="inlineStr">
        <is>
          <t>TORNILLOS #fachada</t>
        </is>
      </c>
      <c r="E296" s="6" t="inlineStr"/>
      <c r="F296" s="6" t="inlineStr">
        <is>
          <t>IMPUTADO</t>
        </is>
      </c>
      <c r="G296" s="4" t="n">
        <v>14.4</v>
      </c>
    </row>
    <row r="297">
      <c r="A297" s="6" t="inlineStr">
        <is>
          <t>OBRA C/FORMENTERA, 12 (JOAQUIN)</t>
        </is>
      </c>
      <c r="B297" s="6" t="inlineStr">
        <is>
          <t>331,00</t>
        </is>
      </c>
      <c r="C297" s="6" t="inlineStr"/>
      <c r="D297" s="6" t="inlineStr">
        <is>
          <t>MATERIAL</t>
        </is>
      </c>
      <c r="E297" s="6" t="inlineStr"/>
      <c r="F297" s="6" t="inlineStr">
        <is>
          <t>SIN IMPUTAR</t>
        </is>
      </c>
      <c r="G297" s="4" t="n">
        <v>11.19</v>
      </c>
    </row>
    <row r="298">
      <c r="A298" s="6" t="inlineStr">
        <is>
          <t>OBRA C/FORMENTERA, 12 (JOAQUIN)</t>
        </is>
      </c>
      <c r="B298" s="6" t="inlineStr">
        <is>
          <t>1.490,00</t>
        </is>
      </c>
      <c r="C298" s="6" t="inlineStr">
        <is>
          <t>28/04/2026</t>
        </is>
      </c>
      <c r="D298" s="6" t="inlineStr">
        <is>
          <t>MATEIAL OBRA #albañileria</t>
        </is>
      </c>
      <c r="E298" s="6" t="inlineStr"/>
      <c r="F298" s="6" t="inlineStr">
        <is>
          <t>IMPUTADO</t>
        </is>
      </c>
      <c r="G298" s="4" t="n">
        <v>9.970000000000001</v>
      </c>
    </row>
    <row r="299">
      <c r="A299" s="6" t="inlineStr">
        <is>
          <t>OBRA C/FORMENTERA, 12 (JOAQUIN)</t>
        </is>
      </c>
      <c r="B299" s="6" t="inlineStr">
        <is>
          <t>319,00</t>
        </is>
      </c>
      <c r="C299" s="6" t="inlineStr"/>
      <c r="D299" s="6" t="inlineStr">
        <is>
          <t>PISTOLA</t>
        </is>
      </c>
      <c r="E299" s="6" t="inlineStr"/>
      <c r="F299" s="6" t="inlineStr">
        <is>
          <t>SIN IMPUTAR</t>
        </is>
      </c>
      <c r="G299" s="4" t="n">
        <v>9.5</v>
      </c>
    </row>
    <row r="300">
      <c r="A300" s="6" t="inlineStr">
        <is>
          <t>OBRA C/FORMENTERA, 12 (JOAQUIN)</t>
        </is>
      </c>
      <c r="B300" s="6" t="inlineStr">
        <is>
          <t>1.718,00</t>
        </is>
      </c>
      <c r="C300" s="6" t="inlineStr">
        <is>
          <t>10/07/2026</t>
        </is>
      </c>
      <c r="D300" s="6" t="inlineStr">
        <is>
          <t>SELLADOR</t>
        </is>
      </c>
      <c r="E300" s="6" t="inlineStr">
        <is>
          <t>LEROY MERLIN ESPAÑA SL</t>
        </is>
      </c>
      <c r="F300" s="6" t="inlineStr">
        <is>
          <t>IMPUTADO</t>
        </is>
      </c>
      <c r="G300" s="4" t="n">
        <v>8.92</v>
      </c>
    </row>
    <row r="301">
      <c r="A301" s="6" t="inlineStr">
        <is>
          <t>OBRA C/FORMENTERA, 12 (JOAQUIN)</t>
        </is>
      </c>
      <c r="B301" s="6" t="inlineStr">
        <is>
          <t>1.847,00</t>
        </is>
      </c>
      <c r="C301" s="6" t="inlineStr">
        <is>
          <t>24/07/2026</t>
        </is>
      </c>
      <c r="D301" s="6" t="inlineStr">
        <is>
          <t>PLADUR</t>
        </is>
      </c>
      <c r="E301" s="6" t="inlineStr">
        <is>
          <t>FERRETERIA INDUSTRIAL CARRUS S.L.</t>
        </is>
      </c>
      <c r="F301" s="6" t="inlineStr">
        <is>
          <t>IMPUTADO</t>
        </is>
      </c>
      <c r="G301" s="4" t="n">
        <v>6.16</v>
      </c>
    </row>
    <row r="302">
      <c r="A302" s="6" t="inlineStr">
        <is>
          <t>OBRA C/FORMENTERA,14 ASPE (JUANMA)</t>
        </is>
      </c>
      <c r="B302" s="6" t="inlineStr">
        <is>
          <t>499,00</t>
        </is>
      </c>
      <c r="C302" s="6" t="inlineStr">
        <is>
          <t>18/02/2026</t>
        </is>
      </c>
      <c r="D302" s="6" t="inlineStr">
        <is>
          <t>VENTANAS CAÑA</t>
        </is>
      </c>
      <c r="E302" s="6" t="inlineStr">
        <is>
          <t>ALEJANDRO CUTILLAS CAÑABATE</t>
        </is>
      </c>
      <c r="F302" s="6" t="inlineStr">
        <is>
          <t>IMPUTADO</t>
        </is>
      </c>
      <c r="G302" s="4" t="n">
        <v>15657.44</v>
      </c>
    </row>
    <row r="303">
      <c r="A303" s="6" t="inlineStr">
        <is>
          <t>OBRA C/FORMENTERA,14 ASPE (JUANMA)</t>
        </is>
      </c>
      <c r="B303" s="6" t="inlineStr">
        <is>
          <t>445,00</t>
        </is>
      </c>
      <c r="C303" s="6" t="inlineStr">
        <is>
          <t>18/02/2026</t>
        </is>
      </c>
      <c r="D303" s="6" t="inlineStr">
        <is>
          <t>VENTANAS</t>
        </is>
      </c>
      <c r="E303" s="6" t="inlineStr"/>
      <c r="F303" s="6" t="inlineStr">
        <is>
          <t>IMPUTADO</t>
        </is>
      </c>
      <c r="G303" s="4" t="n">
        <v>13817.27</v>
      </c>
    </row>
    <row r="304">
      <c r="A304" s="6" t="inlineStr">
        <is>
          <t>OBRA C/FORMENTERA,14 ASPE (JUANMA)</t>
        </is>
      </c>
      <c r="B304" s="6" t="inlineStr">
        <is>
          <t>512,00</t>
        </is>
      </c>
      <c r="C304" s="6" t="inlineStr">
        <is>
          <t>18/02/2026</t>
        </is>
      </c>
      <c r="D304" s="6" t="inlineStr">
        <is>
          <t>PLADINTER</t>
        </is>
      </c>
      <c r="E304" s="6" t="inlineStr"/>
      <c r="F304" s="6" t="inlineStr">
        <is>
          <t>IMPUTADO</t>
        </is>
      </c>
      <c r="G304" s="4" t="n">
        <v>11745.24</v>
      </c>
    </row>
    <row r="305">
      <c r="A305" s="6" t="inlineStr">
        <is>
          <t>OBRA C/FORMENTERA,14 ASPE (JUANMA)</t>
        </is>
      </c>
      <c r="B305" s="6" t="inlineStr">
        <is>
          <t>1.537,00</t>
        </is>
      </c>
      <c r="C305" s="6" t="inlineStr">
        <is>
          <t>06/05/2026</t>
        </is>
      </c>
      <c r="D305" s="6" t="inlineStr">
        <is>
          <t>FONTANERIA AEROTERMIA</t>
        </is>
      </c>
      <c r="E305" s="6" t="inlineStr">
        <is>
          <t>HIDROELIKE SLL</t>
        </is>
      </c>
      <c r="F305" s="6" t="inlineStr">
        <is>
          <t>IMPUTADO</t>
        </is>
      </c>
      <c r="G305" s="4" t="n">
        <v>10263.35</v>
      </c>
    </row>
    <row r="306">
      <c r="A306" s="6" t="inlineStr">
        <is>
          <t>OBRA C/FORMENTERA,14 ASPE (JUANMA)</t>
        </is>
      </c>
      <c r="B306" s="6" t="inlineStr">
        <is>
          <t>310,00</t>
        </is>
      </c>
      <c r="C306" s="6" t="inlineStr">
        <is>
          <t>18/02/2026</t>
        </is>
      </c>
      <c r="D306" s="6" t="inlineStr">
        <is>
          <t>SUELO RADIANTE</t>
        </is>
      </c>
      <c r="E306" s="6" t="inlineStr"/>
      <c r="F306" s="6" t="inlineStr">
        <is>
          <t>IMPUTADO</t>
        </is>
      </c>
      <c r="G306" s="4" t="n">
        <v>9504.85</v>
      </c>
    </row>
    <row r="307">
      <c r="A307" s="6" t="inlineStr">
        <is>
          <t>OBRA C/FORMENTERA,14 ASPE (JUANMA)</t>
        </is>
      </c>
      <c r="B307" s="6" t="inlineStr">
        <is>
          <t>482,00</t>
        </is>
      </c>
      <c r="C307" s="6" t="inlineStr">
        <is>
          <t>18/02/2026</t>
        </is>
      </c>
      <c r="D307" s="6" t="inlineStr">
        <is>
          <t>AIRE ACONDICIONADO</t>
        </is>
      </c>
      <c r="E307" s="6" t="inlineStr"/>
      <c r="F307" s="6" t="inlineStr">
        <is>
          <t>IMPUTADO</t>
        </is>
      </c>
      <c r="G307" s="4" t="n">
        <v>9496</v>
      </c>
    </row>
    <row r="308">
      <c r="A308" s="6" t="inlineStr">
        <is>
          <t>OBRA C/FORMENTERA,14 ASPE (JUANMA)</t>
        </is>
      </c>
      <c r="B308" s="6" t="inlineStr">
        <is>
          <t>314,00</t>
        </is>
      </c>
      <c r="C308" s="6" t="inlineStr">
        <is>
          <t>18/02/2026</t>
        </is>
      </c>
      <c r="D308" s="6" t="inlineStr">
        <is>
          <t>AZULEJOS PISO - REVEST</t>
        </is>
      </c>
      <c r="E308" s="6" t="inlineStr"/>
      <c r="F308" s="6" t="inlineStr">
        <is>
          <t>IMPUTADO</t>
        </is>
      </c>
      <c r="G308" s="4" t="n">
        <v>8995.1</v>
      </c>
    </row>
    <row r="309">
      <c r="A309" s="6" t="inlineStr">
        <is>
          <t>OBRA C/FORMENTERA,14 ASPE (JUANMA)</t>
        </is>
      </c>
      <c r="B309" s="6" t="inlineStr">
        <is>
          <t>516,00</t>
        </is>
      </c>
      <c r="C309" s="6" t="inlineStr">
        <is>
          <t>18/02/2026</t>
        </is>
      </c>
      <c r="D309" s="6" t="inlineStr">
        <is>
          <t>RESTO 50% COCINA BAMBU</t>
        </is>
      </c>
      <c r="E309" s="6" t="inlineStr">
        <is>
          <t>CARPINTERIA EBANISTERIA BAMBU SL.</t>
        </is>
      </c>
      <c r="F309" s="6" t="inlineStr">
        <is>
          <t>IMPUTADO</t>
        </is>
      </c>
      <c r="G309" s="4" t="n">
        <v>8225</v>
      </c>
    </row>
    <row r="310">
      <c r="A310" s="6" t="inlineStr">
        <is>
          <t>OBRA C/FORMENTERA,14 ASPE (JUANMA)</t>
        </is>
      </c>
      <c r="B310" s="6" t="inlineStr">
        <is>
          <t>480,00</t>
        </is>
      </c>
      <c r="C310" s="6" t="inlineStr">
        <is>
          <t>03/02/2026</t>
        </is>
      </c>
      <c r="D310" s="6" t="inlineStr">
        <is>
          <t>50 % PUERTAS</t>
        </is>
      </c>
      <c r="E310" s="6" t="inlineStr">
        <is>
          <t>CARPINTERIA EBANISTERIA BAMBU SL.</t>
        </is>
      </c>
      <c r="F310" s="6" t="inlineStr">
        <is>
          <t>IMPUTADO</t>
        </is>
      </c>
      <c r="G310" s="4" t="n">
        <v>8225</v>
      </c>
    </row>
    <row r="311">
      <c r="A311" s="6" t="inlineStr">
        <is>
          <t>OBRA C/FORMENTERA,14 ASPE (JUANMA)</t>
        </is>
      </c>
      <c r="B311" s="6" t="inlineStr">
        <is>
          <t>858,00</t>
        </is>
      </c>
      <c r="C311" s="6" t="inlineStr">
        <is>
          <t>25/02/2026</t>
        </is>
      </c>
      <c r="D311" s="6" t="inlineStr">
        <is>
          <t>PUERTA Y VALLA CASA</t>
        </is>
      </c>
      <c r="E311" s="6" t="inlineStr">
        <is>
          <t>ALEJANDRO CUTILLAS CAÑABATE</t>
        </is>
      </c>
      <c r="F311" s="6" t="inlineStr">
        <is>
          <t>IMPUTADO</t>
        </is>
      </c>
      <c r="G311" s="4" t="n">
        <v>7539.68</v>
      </c>
    </row>
    <row r="312">
      <c r="A312" s="6" t="inlineStr">
        <is>
          <t>OBRA C/FORMENTERA,14 ASPE (JUANMA)</t>
        </is>
      </c>
      <c r="B312" s="6" t="inlineStr">
        <is>
          <t>191,00</t>
        </is>
      </c>
      <c r="C312" s="6" t="inlineStr">
        <is>
          <t>18/02/2026</t>
        </is>
      </c>
      <c r="D312" s="6" t="inlineStr">
        <is>
          <t>HORMIGÓN</t>
        </is>
      </c>
      <c r="E312" s="6" t="inlineStr"/>
      <c r="F312" s="6" t="inlineStr">
        <is>
          <t>IMPUTADO</t>
        </is>
      </c>
      <c r="G312" s="4" t="n">
        <v>6487.5</v>
      </c>
    </row>
    <row r="313">
      <c r="A313" s="6" t="inlineStr">
        <is>
          <t>OBRA C/FORMENTERA,14 ASPE (JUANMA)</t>
        </is>
      </c>
      <c r="B313" s="6" t="inlineStr">
        <is>
          <t>1.486,00</t>
        </is>
      </c>
      <c r="C313" s="6" t="inlineStr">
        <is>
          <t>28/04/2026</t>
        </is>
      </c>
      <c r="D313" s="6" t="inlineStr">
        <is>
          <t>INSTALACIÓN ELÉCTRICA</t>
        </is>
      </c>
      <c r="E313" s="6" t="inlineStr">
        <is>
          <t>INSTALACIONES ELECTRICAS FERRIS, O.E.</t>
        </is>
      </c>
      <c r="F313" s="6" t="inlineStr">
        <is>
          <t>IMPUTADO</t>
        </is>
      </c>
      <c r="G313" s="4" t="n">
        <v>5961</v>
      </c>
    </row>
    <row r="314">
      <c r="A314" s="6" t="inlineStr">
        <is>
          <t>OBRA C/FORMENTERA,14 ASPE (JUANMA)</t>
        </is>
      </c>
      <c r="B314" s="6" t="inlineStr">
        <is>
          <t>109,00</t>
        </is>
      </c>
      <c r="C314" s="6" t="inlineStr">
        <is>
          <t>18/02/2026</t>
        </is>
      </c>
      <c r="D314" s="6" t="inlineStr">
        <is>
          <t>FERRALLA</t>
        </is>
      </c>
      <c r="E314" s="6" t="inlineStr"/>
      <c r="F314" s="6" t="inlineStr">
        <is>
          <t>IMPUTADO</t>
        </is>
      </c>
      <c r="G314" s="4" t="n">
        <v>5957.1</v>
      </c>
    </row>
    <row r="315">
      <c r="A315" s="6" t="inlineStr">
        <is>
          <t>OBRA C/FORMENTERA,14 ASPE (JUANMA)</t>
        </is>
      </c>
      <c r="B315" s="6" t="inlineStr">
        <is>
          <t>484,00</t>
        </is>
      </c>
      <c r="C315" s="6" t="inlineStr">
        <is>
          <t>18/02/2026</t>
        </is>
      </c>
      <c r="D315" s="6" t="inlineStr">
        <is>
          <t>PUERTAS DE PASO</t>
        </is>
      </c>
      <c r="E315" s="6" t="inlineStr">
        <is>
          <t>CARPINTERIA EBANISTERIA BAMBU SL.</t>
        </is>
      </c>
      <c r="F315" s="6" t="inlineStr">
        <is>
          <t>IMPUTADO</t>
        </is>
      </c>
      <c r="G315" s="4" t="n">
        <v>5290</v>
      </c>
    </row>
    <row r="316">
      <c r="A316" s="6" t="inlineStr">
        <is>
          <t>OBRA C/FORMENTERA,14 ASPE (JUANMA)</t>
        </is>
      </c>
      <c r="B316" s="6" t="inlineStr">
        <is>
          <t>843,00</t>
        </is>
      </c>
      <c r="C316" s="6" t="inlineStr">
        <is>
          <t>23/02/2026</t>
        </is>
      </c>
      <c r="D316" s="6" t="inlineStr">
        <is>
          <t>CARPINTERIA METALICA</t>
        </is>
      </c>
      <c r="E316" s="6" t="inlineStr">
        <is>
          <t>ALEJANDRO CUTILLAS CAÑABATE</t>
        </is>
      </c>
      <c r="F316" s="6" t="inlineStr">
        <is>
          <t>IMPUTADO</t>
        </is>
      </c>
      <c r="G316" s="4" t="n">
        <v>5060</v>
      </c>
    </row>
    <row r="317">
      <c r="A317" s="6" t="inlineStr">
        <is>
          <t>OBRA C/FORMENTERA,14 ASPE (JUANMA)</t>
        </is>
      </c>
      <c r="B317" s="6" t="inlineStr">
        <is>
          <t>487,00</t>
        </is>
      </c>
      <c r="C317" s="6" t="inlineStr">
        <is>
          <t>18/02/2026</t>
        </is>
      </c>
      <c r="D317" s="6" t="inlineStr">
        <is>
          <t>ELECTRICIDAD</t>
        </is>
      </c>
      <c r="E317" s="6" t="inlineStr"/>
      <c r="F317" s="6" t="inlineStr">
        <is>
          <t>IMPUTADO</t>
        </is>
      </c>
      <c r="G317" s="4" t="n">
        <v>4370</v>
      </c>
    </row>
    <row r="318">
      <c r="A318" s="6" t="inlineStr">
        <is>
          <t>OBRA C/FORMENTERA,14 ASPE (JUANMA)</t>
        </is>
      </c>
      <c r="B318" s="6" t="inlineStr">
        <is>
          <t>431,00</t>
        </is>
      </c>
      <c r="C318" s="6" t="inlineStr">
        <is>
          <t>18/02/2026</t>
        </is>
      </c>
      <c r="D318" s="6" t="inlineStr">
        <is>
          <t>ELECTRICIDAD</t>
        </is>
      </c>
      <c r="E318" s="6" t="inlineStr"/>
      <c r="F318" s="6" t="inlineStr">
        <is>
          <t>IMPUTADO</t>
        </is>
      </c>
      <c r="G318" s="4" t="n">
        <v>4369</v>
      </c>
    </row>
    <row r="319">
      <c r="A319" s="6" t="inlineStr">
        <is>
          <t>OBRA C/FORMENTERA,14 ASPE (JUANMA)</t>
        </is>
      </c>
      <c r="B319" s="6" t="inlineStr">
        <is>
          <t>45,00</t>
        </is>
      </c>
      <c r="C319" s="6" t="inlineStr">
        <is>
          <t>18/02/2026</t>
        </is>
      </c>
      <c r="D319" s="6" t="inlineStr">
        <is>
          <t>AZULEJOS</t>
        </is>
      </c>
      <c r="E319" s="6" t="inlineStr">
        <is>
          <t>TREXGRUCO SL.</t>
        </is>
      </c>
      <c r="F319" s="6" t="inlineStr">
        <is>
          <t>IMPUTADO</t>
        </is>
      </c>
      <c r="G319" s="4" t="n">
        <v>4118</v>
      </c>
    </row>
    <row r="320">
      <c r="A320" s="6" t="inlineStr">
        <is>
          <t>OBRA C/FORMENTERA,14 ASPE (JUANMA)</t>
        </is>
      </c>
      <c r="B320" s="6" t="inlineStr">
        <is>
          <t>103,00</t>
        </is>
      </c>
      <c r="C320" s="6" t="inlineStr">
        <is>
          <t>18/02/2026</t>
        </is>
      </c>
      <c r="D320" s="6" t="inlineStr">
        <is>
          <t>HORMIGÓN</t>
        </is>
      </c>
      <c r="E320" s="6" t="inlineStr"/>
      <c r="F320" s="6" t="inlineStr">
        <is>
          <t>IMPUTADO</t>
        </is>
      </c>
      <c r="G320" s="4" t="n">
        <v>4007</v>
      </c>
    </row>
    <row r="321">
      <c r="A321" s="6" t="inlineStr">
        <is>
          <t>OBRA C/FORMENTERA,14 ASPE (JUANMA)</t>
        </is>
      </c>
      <c r="B321" s="6" t="inlineStr">
        <is>
          <t>70,00</t>
        </is>
      </c>
      <c r="C321" s="6" t="inlineStr">
        <is>
          <t>18/02/2026</t>
        </is>
      </c>
      <c r="D321" s="6" t="inlineStr">
        <is>
          <t>HORMIGÓN</t>
        </is>
      </c>
      <c r="E321" s="6" t="inlineStr"/>
      <c r="F321" s="6" t="inlineStr">
        <is>
          <t>IMPUTADO</t>
        </is>
      </c>
      <c r="G321" s="4" t="n">
        <v>4007</v>
      </c>
    </row>
    <row r="322">
      <c r="A322" s="6" t="inlineStr">
        <is>
          <t>OBRA C/FORMENTERA,14 ASPE (JUANMA)</t>
        </is>
      </c>
      <c r="B322" s="6" t="inlineStr">
        <is>
          <t>359,00</t>
        </is>
      </c>
      <c r="C322" s="6" t="inlineStr">
        <is>
          <t>18/02/2026</t>
        </is>
      </c>
      <c r="D322" s="6" t="inlineStr">
        <is>
          <t>VENTANAS</t>
        </is>
      </c>
      <c r="E322" s="6" t="inlineStr"/>
      <c r="F322" s="6" t="inlineStr">
        <is>
          <t>IMPUTADO</t>
        </is>
      </c>
      <c r="G322" s="4" t="n">
        <v>4000</v>
      </c>
    </row>
    <row r="323">
      <c r="A323" s="6" t="inlineStr">
        <is>
          <t>OBRA C/FORMENTERA,14 ASPE (JUANMA)</t>
        </is>
      </c>
      <c r="B323" s="6" t="inlineStr">
        <is>
          <t>1.719,00</t>
        </is>
      </c>
      <c r="C323" s="6" t="inlineStr">
        <is>
          <t>16/06/2026</t>
        </is>
      </c>
      <c r="D323" s="6" t="inlineStr">
        <is>
          <t>PLACAS SOLARES Y FOTOVOLTÁICAS</t>
        </is>
      </c>
      <c r="E323" s="6" t="inlineStr">
        <is>
          <t>SUPERNOVA RENOVABLES SL.</t>
        </is>
      </c>
      <c r="F323" s="6" t="inlineStr">
        <is>
          <t>IMPUTADO</t>
        </is>
      </c>
      <c r="G323" s="4" t="n">
        <v>3985</v>
      </c>
    </row>
    <row r="324">
      <c r="A324" s="6" t="inlineStr">
        <is>
          <t>OBRA C/FORMENTERA,14 ASPE (JUANMA)</t>
        </is>
      </c>
      <c r="B324" s="6" t="inlineStr">
        <is>
          <t>1.117,00</t>
        </is>
      </c>
      <c r="C324" s="6" t="inlineStr">
        <is>
          <t>12/03/2026</t>
        </is>
      </c>
      <c r="D324" s="6" t="inlineStr">
        <is>
          <t>SISTEMA DE ZONAS MARCA AIZONE  #instalaciones/aacc</t>
        </is>
      </c>
      <c r="E324" s="6" t="inlineStr">
        <is>
          <t>GOCLIMA FRIO Y CALOR SL</t>
        </is>
      </c>
      <c r="F324" s="6" t="inlineStr">
        <is>
          <t>IMPUTADO</t>
        </is>
      </c>
      <c r="G324" s="4" t="n">
        <v>3936</v>
      </c>
    </row>
    <row r="325">
      <c r="A325" s="6" t="inlineStr">
        <is>
          <t>OBRA C/FORMENTERA,14 ASPE (JUANMA)</t>
        </is>
      </c>
      <c r="B325" s="6" t="inlineStr">
        <is>
          <t>1.536,00</t>
        </is>
      </c>
      <c r="C325" s="6" t="inlineStr">
        <is>
          <t>06/05/2026</t>
        </is>
      </c>
      <c r="D325" s="6" t="inlineStr">
        <is>
          <t>FONTANERIA PISCINA</t>
        </is>
      </c>
      <c r="E325" s="6" t="inlineStr">
        <is>
          <t>HIDROELIKE SLL</t>
        </is>
      </c>
      <c r="F325" s="6" t="inlineStr">
        <is>
          <t>IMPUTADO</t>
        </is>
      </c>
      <c r="G325" s="4" t="n">
        <v>3228.25</v>
      </c>
    </row>
    <row r="326">
      <c r="A326" s="6" t="inlineStr">
        <is>
          <t>OBRA C/FORMENTERA,14 ASPE (JUANMA)</t>
        </is>
      </c>
      <c r="B326" s="6" t="inlineStr">
        <is>
          <t>230,00</t>
        </is>
      </c>
      <c r="C326" s="6" t="inlineStr">
        <is>
          <t>18/02/2026</t>
        </is>
      </c>
      <c r="D326" s="6" t="inlineStr">
        <is>
          <t>IMPERMEABILIZAR CUBIERTA</t>
        </is>
      </c>
      <c r="E326" s="6" t="inlineStr"/>
      <c r="F326" s="6" t="inlineStr">
        <is>
          <t>IMPUTADO</t>
        </is>
      </c>
      <c r="G326" s="4" t="n">
        <v>2985.35</v>
      </c>
    </row>
    <row r="327">
      <c r="A327" s="6" t="inlineStr">
        <is>
          <t>OBRA C/FORMENTERA,14 ASPE (JUANMA)</t>
        </is>
      </c>
      <c r="B327" s="6" t="inlineStr">
        <is>
          <t>218,00</t>
        </is>
      </c>
      <c r="C327" s="6" t="inlineStr">
        <is>
          <t>18/02/2026</t>
        </is>
      </c>
      <c r="D327" s="6" t="inlineStr">
        <is>
          <t>IMPERMEABILIZAR CUBIERTA</t>
        </is>
      </c>
      <c r="E327" s="6" t="inlineStr"/>
      <c r="F327" s="6" t="inlineStr">
        <is>
          <t>IMPUTADO</t>
        </is>
      </c>
      <c r="G327" s="4" t="n">
        <v>2985.35</v>
      </c>
    </row>
    <row r="328">
      <c r="A328" s="6" t="inlineStr">
        <is>
          <t>OBRA C/FORMENTERA,14 ASPE (JUANMA)</t>
        </is>
      </c>
      <c r="B328" s="6" t="inlineStr">
        <is>
          <t>1.216,00</t>
        </is>
      </c>
      <c r="C328" s="6" t="inlineStr">
        <is>
          <t>03/04/2026</t>
        </is>
      </c>
      <c r="D328" s="6" t="inlineStr">
        <is>
          <t>COCINA-BANCADA</t>
        </is>
      </c>
      <c r="E328" s="6" t="inlineStr">
        <is>
          <t>JESUS SANCHO GRAO</t>
        </is>
      </c>
      <c r="F328" s="6" t="inlineStr">
        <is>
          <t>IMPUTADO</t>
        </is>
      </c>
      <c r="G328" s="4" t="n">
        <v>2800</v>
      </c>
    </row>
    <row r="329">
      <c r="A329" s="6" t="inlineStr">
        <is>
          <t>OBRA C/FORMENTERA,14 ASPE (JUANMA)</t>
        </is>
      </c>
      <c r="B329" s="6" t="inlineStr">
        <is>
          <t>120,00</t>
        </is>
      </c>
      <c r="C329" s="6" t="inlineStr">
        <is>
          <t>18/02/2026</t>
        </is>
      </c>
      <c r="D329" s="6" t="inlineStr">
        <is>
          <t>HORMIGÓN</t>
        </is>
      </c>
      <c r="E329" s="6" t="inlineStr"/>
      <c r="F329" s="6" t="inlineStr">
        <is>
          <t>IMPUTADO</t>
        </is>
      </c>
      <c r="G329" s="4" t="n">
        <v>2767.5</v>
      </c>
    </row>
    <row r="330">
      <c r="A330" s="6" t="inlineStr">
        <is>
          <t>OBRA C/FORMENTERA,14 ASPE (JUANMA)</t>
        </is>
      </c>
      <c r="B330" s="6" t="inlineStr">
        <is>
          <t>860,00</t>
        </is>
      </c>
      <c r="C330" s="6" t="inlineStr">
        <is>
          <t>25/02/2026</t>
        </is>
      </c>
      <c r="D330" s="6" t="inlineStr">
        <is>
          <t>MOSQUITERAS #ALUMINIO</t>
        </is>
      </c>
      <c r="E330" s="6" t="inlineStr">
        <is>
          <t>ALEJANDRO CUTILLAS CAÑABATE</t>
        </is>
      </c>
      <c r="F330" s="6" t="inlineStr">
        <is>
          <t>IMPUTADO</t>
        </is>
      </c>
      <c r="G330" s="4" t="n">
        <v>2599</v>
      </c>
    </row>
    <row r="331">
      <c r="A331" s="6" t="inlineStr">
        <is>
          <t>OBRA C/FORMENTERA,14 ASPE (JUANMA)</t>
        </is>
      </c>
      <c r="B331" s="6" t="inlineStr">
        <is>
          <t>130,00</t>
        </is>
      </c>
      <c r="C331" s="6" t="inlineStr">
        <is>
          <t>18/02/2026</t>
        </is>
      </c>
      <c r="D331" s="6" t="inlineStr">
        <is>
          <t>HIERRO SANITARIO</t>
        </is>
      </c>
      <c r="E331" s="6" t="inlineStr"/>
      <c r="F331" s="6" t="inlineStr">
        <is>
          <t>IMPUTADO</t>
        </is>
      </c>
      <c r="G331" s="4" t="n">
        <v>2577.9</v>
      </c>
    </row>
    <row r="332">
      <c r="A332" s="6" t="inlineStr">
        <is>
          <t>OBRA C/FORMENTERA,14 ASPE (JUANMA)</t>
        </is>
      </c>
      <c r="B332" s="6" t="inlineStr">
        <is>
          <t>81,00</t>
        </is>
      </c>
      <c r="C332" s="6" t="inlineStr">
        <is>
          <t>18/02/2026</t>
        </is>
      </c>
      <c r="D332" s="6" t="inlineStr">
        <is>
          <t>HIERRO CIMENTACIÓN</t>
        </is>
      </c>
      <c r="E332" s="6" t="inlineStr"/>
      <c r="F332" s="6" t="inlineStr">
        <is>
          <t>IMPUTADO</t>
        </is>
      </c>
      <c r="G332" s="4" t="n">
        <v>2509.5</v>
      </c>
    </row>
    <row r="333">
      <c r="A333" s="6" t="inlineStr">
        <is>
          <t>OBRA C/FORMENTERA,14 ASPE (JUANMA)</t>
        </is>
      </c>
      <c r="B333" s="6" t="inlineStr">
        <is>
          <t>1.165,00</t>
        </is>
      </c>
      <c r="C333" s="6" t="inlineStr">
        <is>
          <t>31/03/2026</t>
        </is>
      </c>
      <c r="D333" s="6" t="inlineStr">
        <is>
          <t>MONTAJE MUEBLES DE IKEA</t>
        </is>
      </c>
      <c r="E333" s="6" t="inlineStr">
        <is>
          <t>CARPINTERIA EBANISTERIA BAMBU SL.</t>
        </is>
      </c>
      <c r="F333" s="6" t="inlineStr">
        <is>
          <t>IMPUTADO</t>
        </is>
      </c>
      <c r="G333" s="4" t="n">
        <v>2500</v>
      </c>
    </row>
    <row r="334">
      <c r="A334" s="6" t="inlineStr">
        <is>
          <t>OBRA C/FORMENTERA,14 ASPE (JUANMA)</t>
        </is>
      </c>
      <c r="B334" s="6" t="inlineStr">
        <is>
          <t>306,00</t>
        </is>
      </c>
      <c r="C334" s="6" t="inlineStr">
        <is>
          <t>18/02/2026</t>
        </is>
      </c>
      <c r="D334" s="6" t="inlineStr">
        <is>
          <t>GRIFERIA WC - BAÑOS</t>
        </is>
      </c>
      <c r="E334" s="6" t="inlineStr"/>
      <c r="F334" s="6" t="inlineStr">
        <is>
          <t>IMPUTADO</t>
        </is>
      </c>
      <c r="G334" s="4" t="n">
        <v>2458.6</v>
      </c>
    </row>
    <row r="335">
      <c r="A335" s="6" t="inlineStr">
        <is>
          <t>OBRA C/FORMENTERA,14 ASPE (JUANMA)</t>
        </is>
      </c>
      <c r="B335" s="6" t="inlineStr">
        <is>
          <t>142,00</t>
        </is>
      </c>
      <c r="C335" s="6" t="inlineStr">
        <is>
          <t>17/02/2025</t>
        </is>
      </c>
      <c r="D335" s="6" t="inlineStr">
        <is>
          <t>BOVEDILLA.VIGAS. FORJADO SANITARIO</t>
        </is>
      </c>
      <c r="E335" s="6" t="inlineStr"/>
      <c r="F335" s="6" t="inlineStr">
        <is>
          <t>IMPUTADO</t>
        </is>
      </c>
      <c r="G335" s="4" t="n">
        <v>2289.14</v>
      </c>
    </row>
    <row r="336">
      <c r="A336" s="6" t="inlineStr">
        <is>
          <t>OBRA C/FORMENTERA,14 ASPE (JUANMA)</t>
        </is>
      </c>
      <c r="B336" s="6" t="inlineStr">
        <is>
          <t>207,00</t>
        </is>
      </c>
      <c r="C336" s="6" t="inlineStr">
        <is>
          <t>18/02/2026</t>
        </is>
      </c>
      <c r="D336" s="6" t="inlineStr">
        <is>
          <t>AISLAMIENTO</t>
        </is>
      </c>
      <c r="E336" s="6" t="inlineStr"/>
      <c r="F336" s="6" t="inlineStr">
        <is>
          <t>IMPUTADO</t>
        </is>
      </c>
      <c r="G336" s="4" t="n">
        <v>2215.2</v>
      </c>
    </row>
    <row r="337">
      <c r="A337" s="6" t="inlineStr">
        <is>
          <t>OBRA C/FORMENTERA,14 ASPE (JUANMA)</t>
        </is>
      </c>
      <c r="B337" s="6" t="inlineStr">
        <is>
          <t>335,00</t>
        </is>
      </c>
      <c r="C337" s="6" t="inlineStr">
        <is>
          <t>18/02/2026</t>
        </is>
      </c>
      <c r="D337" s="6" t="inlineStr">
        <is>
          <t>CEMENTO</t>
        </is>
      </c>
      <c r="E337" s="6" t="inlineStr"/>
      <c r="F337" s="6" t="inlineStr">
        <is>
          <t>IMPUTADO</t>
        </is>
      </c>
      <c r="G337" s="4" t="n">
        <v>2130.81</v>
      </c>
    </row>
    <row r="338">
      <c r="A338" s="6" t="inlineStr">
        <is>
          <t>OBRA C/FORMENTERA,14 ASPE (JUANMA)</t>
        </is>
      </c>
      <c r="B338" s="6" t="inlineStr">
        <is>
          <t>855,00</t>
        </is>
      </c>
      <c r="C338" s="6" t="inlineStr">
        <is>
          <t>24/02/2026</t>
        </is>
      </c>
      <c r="D338" s="6" t="inlineStr">
        <is>
          <t>FRATASADO</t>
        </is>
      </c>
      <c r="E338" s="6" t="inlineStr">
        <is>
          <t>PAVIMPRESOS FORTUNA MMXVIII C.B.</t>
        </is>
      </c>
      <c r="F338" s="6" t="inlineStr">
        <is>
          <t>IMPUTADO</t>
        </is>
      </c>
      <c r="G338" s="4" t="n">
        <v>2130.02</v>
      </c>
    </row>
    <row r="339">
      <c r="A339" s="6" t="inlineStr">
        <is>
          <t>OBRA C/FORMENTERA,14 ASPE (JUANMA)</t>
        </is>
      </c>
      <c r="B339" s="6" t="inlineStr">
        <is>
          <t>126,00</t>
        </is>
      </c>
      <c r="C339" s="6" t="inlineStr">
        <is>
          <t>18/02/2026</t>
        </is>
      </c>
      <c r="D339" s="6" t="inlineStr">
        <is>
          <t>CERRAMIENTO BLOQUE</t>
        </is>
      </c>
      <c r="E339" s="6" t="inlineStr"/>
      <c r="F339" s="6" t="inlineStr">
        <is>
          <t>IMPUTADO</t>
        </is>
      </c>
      <c r="G339" s="4" t="n">
        <v>1986.66</v>
      </c>
    </row>
    <row r="340">
      <c r="A340" s="6" t="inlineStr">
        <is>
          <t>OBRA C/FORMENTERA,14 ASPE (JUANMA)</t>
        </is>
      </c>
      <c r="B340" s="6" t="inlineStr">
        <is>
          <t>281,00</t>
        </is>
      </c>
      <c r="C340" s="6" t="inlineStr">
        <is>
          <t>18/02/2026</t>
        </is>
      </c>
      <c r="D340" s="6" t="inlineStr">
        <is>
          <t>HORMIGÓN CIMENTACIÓN</t>
        </is>
      </c>
      <c r="E340" s="6" t="inlineStr"/>
      <c r="F340" s="6" t="inlineStr">
        <is>
          <t>IMPUTADO</t>
        </is>
      </c>
      <c r="G340" s="4" t="n">
        <v>1969.75</v>
      </c>
    </row>
    <row r="341">
      <c r="A341" s="6" t="inlineStr">
        <is>
          <t>OBRA C/FORMENTERA,14 ASPE (JUANMA)</t>
        </is>
      </c>
      <c r="B341" s="6" t="inlineStr">
        <is>
          <t>461,00</t>
        </is>
      </c>
      <c r="C341" s="6" t="inlineStr">
        <is>
          <t>18/02/2026</t>
        </is>
      </c>
      <c r="D341" s="6" t="inlineStr">
        <is>
          <t>HORMIGON PISCINA</t>
        </is>
      </c>
      <c r="E341" s="6" t="inlineStr"/>
      <c r="F341" s="6" t="inlineStr">
        <is>
          <t>IMPUTADO</t>
        </is>
      </c>
      <c r="G341" s="4" t="n">
        <v>1836</v>
      </c>
    </row>
    <row r="342">
      <c r="A342" s="6" t="inlineStr">
        <is>
          <t>OBRA C/FORMENTERA,14 ASPE (JUANMA)</t>
        </is>
      </c>
      <c r="B342" s="6" t="inlineStr">
        <is>
          <t>518,00</t>
        </is>
      </c>
      <c r="C342" s="6" t="inlineStr">
        <is>
          <t>18/02/2026</t>
        </is>
      </c>
      <c r="D342" s="6" t="inlineStr">
        <is>
          <t>MATERIAL OBRA</t>
        </is>
      </c>
      <c r="E342" s="6" t="inlineStr">
        <is>
          <t>CONSYDECOR SL</t>
        </is>
      </c>
      <c r="F342" s="6" t="inlineStr">
        <is>
          <t>IMPUTADO</t>
        </is>
      </c>
      <c r="G342" s="4" t="n">
        <v>1823.85</v>
      </c>
    </row>
    <row r="343">
      <c r="A343" s="6" t="inlineStr">
        <is>
          <t>OBRA C/FORMENTERA,14 ASPE (JUANMA)</t>
        </is>
      </c>
      <c r="B343" s="6" t="inlineStr">
        <is>
          <t>818,00</t>
        </is>
      </c>
      <c r="C343" s="6" t="inlineStr">
        <is>
          <t>18/02/2026</t>
        </is>
      </c>
      <c r="D343" s="6" t="inlineStr">
        <is>
          <t>HORMIGON FRATASADO MT2 #PROVEEDOR</t>
        </is>
      </c>
      <c r="E343" s="6" t="inlineStr">
        <is>
          <t>PAVIMPRESOS FORTUNA MMXVIII C.B.</t>
        </is>
      </c>
      <c r="F343" s="6" t="inlineStr">
        <is>
          <t>IMPUTADO</t>
        </is>
      </c>
      <c r="G343" s="4" t="n">
        <v>1750</v>
      </c>
    </row>
    <row r="344">
      <c r="A344" s="6" t="inlineStr">
        <is>
          <t>OBRA C/FORMENTERA,14 ASPE (JUANMA)</t>
        </is>
      </c>
      <c r="B344" s="6" t="inlineStr">
        <is>
          <t>283,00</t>
        </is>
      </c>
      <c r="C344" s="6" t="inlineStr">
        <is>
          <t>18/02/2026</t>
        </is>
      </c>
      <c r="D344" s="6" t="inlineStr">
        <is>
          <t>FERRALLA PISCINA</t>
        </is>
      </c>
      <c r="E344" s="6" t="inlineStr"/>
      <c r="F344" s="6" t="inlineStr">
        <is>
          <t>IMPUTADO</t>
        </is>
      </c>
      <c r="G344" s="4" t="n">
        <v>1654.7</v>
      </c>
    </row>
    <row r="345">
      <c r="A345" s="6" t="inlineStr">
        <is>
          <t>OBRA C/FORMENTERA,14 ASPE (JUANMA)</t>
        </is>
      </c>
      <c r="B345" s="6" t="inlineStr">
        <is>
          <t>80,00</t>
        </is>
      </c>
      <c r="C345" s="6" t="inlineStr">
        <is>
          <t>18/02/2026</t>
        </is>
      </c>
      <c r="D345" s="6" t="inlineStr">
        <is>
          <t>SANITARIO. MATERIAL.</t>
        </is>
      </c>
      <c r="E345" s="6" t="inlineStr"/>
      <c r="F345" s="6" t="inlineStr">
        <is>
          <t>IMPUTADO</t>
        </is>
      </c>
      <c r="G345" s="4" t="n">
        <v>1622.6</v>
      </c>
    </row>
    <row r="346">
      <c r="A346" s="6" t="inlineStr">
        <is>
          <t>OBRA C/FORMENTERA,14 ASPE (JUANMA)</t>
        </is>
      </c>
      <c r="B346" s="6" t="inlineStr">
        <is>
          <t>1.538,00</t>
        </is>
      </c>
      <c r="C346" s="6" t="inlineStr">
        <is>
          <t>06/05/2026</t>
        </is>
      </c>
      <c r="D346" s="6" t="inlineStr">
        <is>
          <t>FONTANERIA DESCALCIFICADOR</t>
        </is>
      </c>
      <c r="E346" s="6" t="inlineStr">
        <is>
          <t>HIDROELIKE SLL</t>
        </is>
      </c>
      <c r="F346" s="6" t="inlineStr">
        <is>
          <t>IMPUTADO</t>
        </is>
      </c>
      <c r="G346" s="4" t="n">
        <v>1583.4</v>
      </c>
    </row>
    <row r="347">
      <c r="A347" s="6" t="inlineStr">
        <is>
          <t>OBRA C/FORMENTERA,14 ASPE (JUANMA)</t>
        </is>
      </c>
      <c r="B347" s="6" t="inlineStr">
        <is>
          <t>437,00</t>
        </is>
      </c>
      <c r="C347" s="6" t="inlineStr">
        <is>
          <t>18/02/2026</t>
        </is>
      </c>
      <c r="D347" s="6" t="inlineStr">
        <is>
          <t>PLASTICO NEGRO</t>
        </is>
      </c>
      <c r="E347" s="6" t="inlineStr"/>
      <c r="F347" s="6" t="inlineStr">
        <is>
          <t>IMPUTADO</t>
        </is>
      </c>
      <c r="G347" s="4" t="n">
        <v>1494.96</v>
      </c>
    </row>
    <row r="348">
      <c r="A348" s="6" t="inlineStr">
        <is>
          <t>OBRA C/FORMENTERA,14 ASPE (JUANMA)</t>
        </is>
      </c>
      <c r="B348" s="6" t="inlineStr">
        <is>
          <t>411,00</t>
        </is>
      </c>
      <c r="C348" s="6" t="inlineStr">
        <is>
          <t>18/02/2026</t>
        </is>
      </c>
      <c r="D348" s="6" t="inlineStr">
        <is>
          <t>PIEDRA</t>
        </is>
      </c>
      <c r="E348" s="6" t="inlineStr"/>
      <c r="F348" s="6" t="inlineStr">
        <is>
          <t>IMPUTADO</t>
        </is>
      </c>
      <c r="G348" s="4" t="n">
        <v>1464.6</v>
      </c>
    </row>
    <row r="349">
      <c r="A349" s="6" t="inlineStr">
        <is>
          <t>OBRA C/FORMENTERA,14 ASPE (JUANMA)</t>
        </is>
      </c>
      <c r="B349" s="6" t="inlineStr">
        <is>
          <t>158,00</t>
        </is>
      </c>
      <c r="C349" s="6" t="inlineStr">
        <is>
          <t>18/02/2026</t>
        </is>
      </c>
      <c r="D349" s="6" t="inlineStr">
        <is>
          <t>GRÚA</t>
        </is>
      </c>
      <c r="E349" s="6" t="inlineStr">
        <is>
          <t>GRUAS Y MAQUINARIA PETREL SL</t>
        </is>
      </c>
      <c r="F349" s="6" t="inlineStr">
        <is>
          <t>IMPUTADO</t>
        </is>
      </c>
      <c r="G349" s="4" t="n">
        <v>1365</v>
      </c>
    </row>
    <row r="350">
      <c r="A350" s="6" t="inlineStr">
        <is>
          <t>OBRA C/FORMENTERA,14 ASPE (JUANMA)</t>
        </is>
      </c>
      <c r="B350" s="6" t="inlineStr">
        <is>
          <t>216,00</t>
        </is>
      </c>
      <c r="C350" s="6" t="inlineStr">
        <is>
          <t>18/02/2026</t>
        </is>
      </c>
      <c r="D350" s="6" t="inlineStr">
        <is>
          <t>GRÚA</t>
        </is>
      </c>
      <c r="E350" s="6" t="inlineStr">
        <is>
          <t>GRUAS Y MAQUINARIA PETREL SL</t>
        </is>
      </c>
      <c r="F350" s="6" t="inlineStr">
        <is>
          <t>IMPUTADO</t>
        </is>
      </c>
      <c r="G350" s="4" t="n">
        <v>1330</v>
      </c>
    </row>
    <row r="351">
      <c r="A351" s="6" t="inlineStr">
        <is>
          <t>OBRA C/FORMENTERA,14 ASPE (JUANMA)</t>
        </is>
      </c>
      <c r="B351" s="6" t="inlineStr">
        <is>
          <t>1.410,00</t>
        </is>
      </c>
      <c r="C351" s="6" t="inlineStr"/>
      <c r="D351" s="6" t="inlineStr">
        <is>
          <t>CHAPAS DE MURO</t>
        </is>
      </c>
      <c r="E351" s="6" t="inlineStr">
        <is>
          <t>COFRES METALICOS SA</t>
        </is>
      </c>
      <c r="F351" s="6" t="inlineStr">
        <is>
          <t>SIN IMPUTAR</t>
        </is>
      </c>
      <c r="G351" s="4" t="n">
        <v>1294.9</v>
      </c>
    </row>
    <row r="352">
      <c r="A352" s="6" t="inlineStr">
        <is>
          <t>OBRA C/FORMENTERA,14 ASPE (JUANMA)</t>
        </is>
      </c>
      <c r="B352" s="6" t="inlineStr">
        <is>
          <t>884,00</t>
        </is>
      </c>
      <c r="C352" s="6" t="inlineStr">
        <is>
          <t>02/03/2026</t>
        </is>
      </c>
      <c r="D352" s="6" t="inlineStr">
        <is>
          <t>MUEBLES COCINA #Carpinteria Madera</t>
        </is>
      </c>
      <c r="E352" s="6" t="inlineStr">
        <is>
          <t>CARPINTERIA EBANISTERIA BAMBU SL.</t>
        </is>
      </c>
      <c r="F352" s="6" t="inlineStr">
        <is>
          <t>IMPUTADO</t>
        </is>
      </c>
      <c r="G352" s="4" t="n">
        <v>1280</v>
      </c>
    </row>
    <row r="353">
      <c r="A353" s="6" t="inlineStr">
        <is>
          <t>OBRA C/FORMENTERA,14 ASPE (JUANMA)</t>
        </is>
      </c>
      <c r="B353" s="6" t="inlineStr">
        <is>
          <t>513,00</t>
        </is>
      </c>
      <c r="C353" s="6" t="inlineStr">
        <is>
          <t>18/02/2026</t>
        </is>
      </c>
      <c r="D353" s="6" t="inlineStr">
        <is>
          <t>MALLA HERCULES</t>
        </is>
      </c>
      <c r="E353" s="6" t="inlineStr"/>
      <c r="F353" s="6" t="inlineStr">
        <is>
          <t>IMPUTADO</t>
        </is>
      </c>
      <c r="G353" s="4" t="n">
        <v>1277.92</v>
      </c>
    </row>
    <row r="354">
      <c r="A354" s="6" t="inlineStr">
        <is>
          <t>OBRA C/FORMENTERA,14 ASPE (JUANMA)</t>
        </is>
      </c>
      <c r="B354" s="6" t="inlineStr">
        <is>
          <t>209,00</t>
        </is>
      </c>
      <c r="C354" s="6" t="inlineStr">
        <is>
          <t>18/02/2026</t>
        </is>
      </c>
      <c r="D354" s="6" t="inlineStr">
        <is>
          <t>PREMARCOS</t>
        </is>
      </c>
      <c r="E354" s="6" t="inlineStr"/>
      <c r="F354" s="6" t="inlineStr">
        <is>
          <t>IMPUTADO</t>
        </is>
      </c>
      <c r="G354" s="4" t="n">
        <v>1275</v>
      </c>
    </row>
    <row r="355">
      <c r="A355" s="6" t="inlineStr">
        <is>
          <t>OBRA C/FORMENTERA,14 ASPE (JUANMA)</t>
        </is>
      </c>
      <c r="B355" s="6" t="inlineStr">
        <is>
          <t>128,00</t>
        </is>
      </c>
      <c r="C355" s="6" t="inlineStr">
        <is>
          <t>18/02/2026</t>
        </is>
      </c>
      <c r="D355" s="6" t="inlineStr">
        <is>
          <t>GRUA SANITARIO</t>
        </is>
      </c>
      <c r="E355" s="6" t="inlineStr">
        <is>
          <t>GRUAS Y MAQUINARIA PETREL SL</t>
        </is>
      </c>
      <c r="F355" s="6" t="inlineStr">
        <is>
          <t>IMPUTADO</t>
        </is>
      </c>
      <c r="G355" s="4" t="n">
        <v>1225</v>
      </c>
    </row>
    <row r="356">
      <c r="A356" s="6" t="inlineStr">
        <is>
          <t>OBRA C/FORMENTERA,14 ASPE (JUANMA)</t>
        </is>
      </c>
      <c r="B356" s="6" t="inlineStr">
        <is>
          <t>269,00</t>
        </is>
      </c>
      <c r="C356" s="6" t="inlineStr">
        <is>
          <t>18/02/2026</t>
        </is>
      </c>
      <c r="D356" s="6" t="inlineStr">
        <is>
          <t>CEMENTO COLA / CEMENTO GRIS / SACA ARENA</t>
        </is>
      </c>
      <c r="E356" s="6" t="inlineStr"/>
      <c r="F356" s="6" t="inlineStr">
        <is>
          <t>IMPUTADO</t>
        </is>
      </c>
      <c r="G356" s="4" t="n">
        <v>1176.37</v>
      </c>
    </row>
    <row r="357">
      <c r="A357" s="6" t="inlineStr">
        <is>
          <t>OBRA C/FORMENTERA,14 ASPE (JUANMA)</t>
        </is>
      </c>
      <c r="B357" s="6" t="inlineStr">
        <is>
          <t>211,00</t>
        </is>
      </c>
      <c r="C357" s="6" t="inlineStr">
        <is>
          <t>18/02/2026</t>
        </is>
      </c>
      <c r="D357" s="6" t="inlineStr">
        <is>
          <t>BOMBEOS LORENZO</t>
        </is>
      </c>
      <c r="E357" s="6" t="inlineStr"/>
      <c r="F357" s="6" t="inlineStr">
        <is>
          <t>IMPUTADO</t>
        </is>
      </c>
      <c r="G357" s="4" t="n">
        <v>1168.2</v>
      </c>
    </row>
    <row r="358">
      <c r="A358" s="6" t="inlineStr">
        <is>
          <t>OBRA C/FORMENTERA,14 ASPE (JUANMA)</t>
        </is>
      </c>
      <c r="B358" s="6" t="inlineStr">
        <is>
          <t>440,00</t>
        </is>
      </c>
      <c r="C358" s="6" t="inlineStr">
        <is>
          <t>18/02/2026</t>
        </is>
      </c>
      <c r="D358" s="6" t="inlineStr">
        <is>
          <t>TECTOR SLURRY</t>
        </is>
      </c>
      <c r="E358" s="6" t="inlineStr"/>
      <c r="F358" s="6" t="inlineStr">
        <is>
          <t>IMPUTADO</t>
        </is>
      </c>
      <c r="G358" s="4" t="n">
        <v>1121.22</v>
      </c>
    </row>
    <row r="359">
      <c r="A359" s="6" t="inlineStr">
        <is>
          <t>OBRA C/FORMENTERA,14 ASPE (JUANMA)</t>
        </is>
      </c>
      <c r="B359" s="6" t="inlineStr">
        <is>
          <t>71,00</t>
        </is>
      </c>
      <c r="C359" s="6" t="inlineStr">
        <is>
          <t>18/02/2026</t>
        </is>
      </c>
      <c r="D359" s="6" t="inlineStr">
        <is>
          <t>CIMENTACIÓN</t>
        </is>
      </c>
      <c r="E359" s="6" t="inlineStr">
        <is>
          <t>GRUAS Y MAQUINARIA PETREL SL</t>
        </is>
      </c>
      <c r="F359" s="6" t="inlineStr">
        <is>
          <t>IMPUTADO</t>
        </is>
      </c>
      <c r="G359" s="4" t="n">
        <v>1050</v>
      </c>
    </row>
    <row r="360">
      <c r="A360" s="6" t="inlineStr">
        <is>
          <t>OBRA C/FORMENTERA,14 ASPE (JUANMA)</t>
        </is>
      </c>
      <c r="B360" s="6" t="inlineStr">
        <is>
          <t>409,00</t>
        </is>
      </c>
      <c r="C360" s="6" t="inlineStr">
        <is>
          <t>18/02/2026</t>
        </is>
      </c>
      <c r="D360" s="6" t="inlineStr">
        <is>
          <t>OSAKA NUT 60X120</t>
        </is>
      </c>
      <c r="E360" s="6" t="inlineStr"/>
      <c r="F360" s="6" t="inlineStr">
        <is>
          <t>IMPUTADO</t>
        </is>
      </c>
      <c r="G360" s="4" t="n">
        <v>1039.93</v>
      </c>
    </row>
    <row r="361">
      <c r="A361" s="6" t="inlineStr">
        <is>
          <t>OBRA C/FORMENTERA,14 ASPE (JUANMA)</t>
        </is>
      </c>
      <c r="B361" s="6" t="inlineStr">
        <is>
          <t>1.407,00</t>
        </is>
      </c>
      <c r="C361" s="6" t="inlineStr">
        <is>
          <t>28/04/2026</t>
        </is>
      </c>
      <c r="D361" s="6" t="inlineStr">
        <is>
          <t>BLOQUE</t>
        </is>
      </c>
      <c r="E361" s="6" t="inlineStr">
        <is>
          <t>CONSYDECOR SL</t>
        </is>
      </c>
      <c r="F361" s="6" t="inlineStr">
        <is>
          <t>IMPUTADO</t>
        </is>
      </c>
      <c r="G361" s="4" t="n">
        <v>1036</v>
      </c>
    </row>
    <row r="362">
      <c r="A362" s="6" t="inlineStr">
        <is>
          <t>OBRA C/FORMENTERA,14 ASPE (JUANMA)</t>
        </is>
      </c>
      <c r="B362" s="6" t="inlineStr">
        <is>
          <t>199,00</t>
        </is>
      </c>
      <c r="C362" s="6" t="inlineStr">
        <is>
          <t>14/03/2025</t>
        </is>
      </c>
      <c r="D362" s="6" t="inlineStr">
        <is>
          <t>MATERIAL</t>
        </is>
      </c>
      <c r="E362" s="6" t="inlineStr"/>
      <c r="F362" s="6" t="inlineStr">
        <is>
          <t>IMPUTADO</t>
        </is>
      </c>
      <c r="G362" s="4" t="n">
        <v>1020.26</v>
      </c>
    </row>
    <row r="363">
      <c r="A363" s="6" t="inlineStr">
        <is>
          <t>OBRA C/FORMENTERA,14 ASPE (JUANMA)</t>
        </is>
      </c>
      <c r="B363" s="6" t="inlineStr">
        <is>
          <t>489,00</t>
        </is>
      </c>
      <c r="C363" s="6" t="inlineStr">
        <is>
          <t>18/02/2026</t>
        </is>
      </c>
      <c r="D363" s="6" t="inlineStr">
        <is>
          <t>CARPINTERIA METALICA</t>
        </is>
      </c>
      <c r="E363" s="6" t="inlineStr">
        <is>
          <t>ALEJANDRO CUTILLAS CAÑABATE</t>
        </is>
      </c>
      <c r="F363" s="6" t="inlineStr">
        <is>
          <t>IMPUTADO</t>
        </is>
      </c>
      <c r="G363" s="4" t="n">
        <v>1017.99</v>
      </c>
    </row>
    <row r="364">
      <c r="A364" s="6" t="inlineStr">
        <is>
          <t>OBRA C/FORMENTERA,14 ASPE (JUANMA)</t>
        </is>
      </c>
      <c r="B364" s="6" t="inlineStr">
        <is>
          <t>515,00</t>
        </is>
      </c>
      <c r="C364" s="6" t="inlineStr">
        <is>
          <t>18/02/2026</t>
        </is>
      </c>
      <c r="D364" s="6" t="inlineStr">
        <is>
          <t>COCINA EXTRA</t>
        </is>
      </c>
      <c r="E364" s="6" t="inlineStr">
        <is>
          <t>CARPINTERIA EBANISTERIA BAMBU SL.</t>
        </is>
      </c>
      <c r="F364" s="6" t="inlineStr">
        <is>
          <t>IMPUTADO</t>
        </is>
      </c>
      <c r="G364" s="4" t="n">
        <v>1000</v>
      </c>
    </row>
    <row r="365">
      <c r="A365" s="6" t="inlineStr">
        <is>
          <t>OBRA C/FORMENTERA,14 ASPE (JUANMA)</t>
        </is>
      </c>
      <c r="B365" s="6" t="inlineStr">
        <is>
          <t>1.262,00</t>
        </is>
      </c>
      <c r="C365" s="6" t="inlineStr">
        <is>
          <t>15/04/2026</t>
        </is>
      </c>
      <c r="D365" s="6" t="inlineStr">
        <is>
          <t>PINTURA</t>
        </is>
      </c>
      <c r="E365" s="6" t="inlineStr">
        <is>
          <t>PINTURAS EL CID SL.</t>
        </is>
      </c>
      <c r="F365" s="6" t="inlineStr">
        <is>
          <t>IMPUTADO</t>
        </is>
      </c>
      <c r="G365" s="4" t="n">
        <v>960</v>
      </c>
    </row>
    <row r="366">
      <c r="A366" s="6" t="inlineStr">
        <is>
          <t>OBRA C/FORMENTERA,14 ASPE (JUANMA)</t>
        </is>
      </c>
      <c r="B366" s="6" t="inlineStr">
        <is>
          <t>460,00</t>
        </is>
      </c>
      <c r="C366" s="6" t="inlineStr">
        <is>
          <t>18/02/2026</t>
        </is>
      </c>
      <c r="D366" s="6" t="inlineStr">
        <is>
          <t>ECHAR GRAVA</t>
        </is>
      </c>
      <c r="E366" s="6" t="inlineStr">
        <is>
          <t>GRUAS Y MAQUINARIA PETREL SL</t>
        </is>
      </c>
      <c r="F366" s="6" t="inlineStr">
        <is>
          <t>IMPUTADO</t>
        </is>
      </c>
      <c r="G366" s="4" t="n">
        <v>945</v>
      </c>
    </row>
    <row r="367">
      <c r="A367" s="6" t="inlineStr">
        <is>
          <t>OBRA C/FORMENTERA,14 ASPE (JUANMA)</t>
        </is>
      </c>
      <c r="B367" s="6" t="inlineStr">
        <is>
          <t>326,00</t>
        </is>
      </c>
      <c r="C367" s="6" t="inlineStr">
        <is>
          <t>18/02/2026</t>
        </is>
      </c>
      <c r="D367" s="6" t="inlineStr">
        <is>
          <t>GRUA</t>
        </is>
      </c>
      <c r="E367" s="6" t="inlineStr">
        <is>
          <t>GRUAS Y MAQUINARIA PETREL SL</t>
        </is>
      </c>
      <c r="F367" s="6" t="inlineStr">
        <is>
          <t>IMPUTADO</t>
        </is>
      </c>
      <c r="G367" s="4" t="n">
        <v>945</v>
      </c>
    </row>
    <row r="368">
      <c r="A368" s="6" t="inlineStr">
        <is>
          <t>OBRA C/FORMENTERA,14 ASPE (JUANMA)</t>
        </is>
      </c>
      <c r="B368" s="6" t="inlineStr">
        <is>
          <t>194,00</t>
        </is>
      </c>
      <c r="C368" s="6" t="inlineStr">
        <is>
          <t>14/03/2025</t>
        </is>
      </c>
      <c r="D368" s="6" t="inlineStr">
        <is>
          <t>BRADIPE</t>
        </is>
      </c>
      <c r="E368" s="6" t="inlineStr"/>
      <c r="F368" s="6" t="inlineStr">
        <is>
          <t>IMPUTADO</t>
        </is>
      </c>
      <c r="G368" s="4" t="n">
        <v>917</v>
      </c>
    </row>
    <row r="369">
      <c r="A369" s="6" t="inlineStr">
        <is>
          <t>OBRA C/FORMENTERA,14 ASPE (JUANMA)</t>
        </is>
      </c>
      <c r="B369" s="6" t="inlineStr">
        <is>
          <t>118,00</t>
        </is>
      </c>
      <c r="C369" s="6" t="inlineStr">
        <is>
          <t>18/02/2026</t>
        </is>
      </c>
      <c r="D369" s="6" t="inlineStr">
        <is>
          <t>GRÚAS</t>
        </is>
      </c>
      <c r="E369" s="6" t="inlineStr">
        <is>
          <t>GRUAS Y MAQUINARIA PETREL SL</t>
        </is>
      </c>
      <c r="F369" s="6" t="inlineStr">
        <is>
          <t>IMPUTADO</t>
        </is>
      </c>
      <c r="G369" s="4" t="n">
        <v>910</v>
      </c>
    </row>
    <row r="370">
      <c r="A370" s="6" t="inlineStr">
        <is>
          <t>OBRA C/FORMENTERA,14 ASPE (JUANMA)</t>
        </is>
      </c>
      <c r="B370" s="6" t="inlineStr">
        <is>
          <t>116,00</t>
        </is>
      </c>
      <c r="C370" s="6" t="inlineStr">
        <is>
          <t>18/02/2026</t>
        </is>
      </c>
      <c r="D370" s="6" t="inlineStr">
        <is>
          <t>Colocación tela asfáltica</t>
        </is>
      </c>
      <c r="E370" s="6" t="inlineStr"/>
      <c r="F370" s="6" t="inlineStr">
        <is>
          <t>IMPUTADO</t>
        </is>
      </c>
      <c r="G370" s="4" t="n">
        <v>909.09</v>
      </c>
    </row>
    <row r="371">
      <c r="A371" s="6" t="inlineStr">
        <is>
          <t>OBRA C/FORMENTERA,14 ASPE (JUANMA)</t>
        </is>
      </c>
      <c r="B371" s="6" t="inlineStr">
        <is>
          <t>291,00</t>
        </is>
      </c>
      <c r="C371" s="6" t="inlineStr">
        <is>
          <t>18/02/2026</t>
        </is>
      </c>
      <c r="D371" s="6" t="inlineStr">
        <is>
          <t>HORMIGON VALLADO</t>
        </is>
      </c>
      <c r="E371" s="6" t="inlineStr"/>
      <c r="F371" s="6" t="inlineStr">
        <is>
          <t>IMPUTADO</t>
        </is>
      </c>
      <c r="G371" s="4" t="n">
        <v>847.5</v>
      </c>
    </row>
    <row r="372">
      <c r="A372" s="6" t="inlineStr">
        <is>
          <t>OBRA C/FORMENTERA,14 ASPE (JUANMA)</t>
        </is>
      </c>
      <c r="B372" s="6" t="inlineStr">
        <is>
          <t>125,00</t>
        </is>
      </c>
      <c r="C372" s="6" t="inlineStr">
        <is>
          <t>18/02/2026</t>
        </is>
      </c>
      <c r="D372" s="6" t="inlineStr">
        <is>
          <t>MATERIAL CERRAMIENTO</t>
        </is>
      </c>
      <c r="E372" s="6" t="inlineStr"/>
      <c r="F372" s="6" t="inlineStr">
        <is>
          <t>IMPUTADO</t>
        </is>
      </c>
      <c r="G372" s="4" t="n">
        <v>816.95</v>
      </c>
    </row>
    <row r="373">
      <c r="A373" s="6" t="inlineStr">
        <is>
          <t>OBRA C/FORMENTERA,14 ASPE (JUANMA)</t>
        </is>
      </c>
      <c r="B373" s="6" t="inlineStr">
        <is>
          <t>179,00</t>
        </is>
      </c>
      <c r="C373" s="6" t="inlineStr">
        <is>
          <t>18/02/2026</t>
        </is>
      </c>
      <c r="D373" s="6" t="inlineStr">
        <is>
          <t>ALQUILER PUNTALES</t>
        </is>
      </c>
      <c r="E373" s="6" t="inlineStr"/>
      <c r="F373" s="6" t="inlineStr">
        <is>
          <t>IMPUTADO</t>
        </is>
      </c>
      <c r="G373" s="4" t="n">
        <v>812.03</v>
      </c>
    </row>
    <row r="374">
      <c r="A374" s="6" t="inlineStr">
        <is>
          <t>OBRA C/FORMENTERA,14 ASPE (JUANMA)</t>
        </is>
      </c>
      <c r="B374" s="6" t="inlineStr">
        <is>
          <t>282,00</t>
        </is>
      </c>
      <c r="C374" s="6" t="inlineStr">
        <is>
          <t>18/02/2026</t>
        </is>
      </c>
      <c r="D374" s="6" t="inlineStr">
        <is>
          <t>GRÚA</t>
        </is>
      </c>
      <c r="E374" s="6" t="inlineStr">
        <is>
          <t>GRUAS Y MAQUINARIA PETREL SL</t>
        </is>
      </c>
      <c r="F374" s="6" t="inlineStr">
        <is>
          <t>IMPUTADO</t>
        </is>
      </c>
      <c r="G374" s="4" t="n">
        <v>805</v>
      </c>
    </row>
    <row r="375">
      <c r="A375" s="6" t="inlineStr">
        <is>
          <t>OBRA C/FORMENTERA,14 ASPE (JUANMA)</t>
        </is>
      </c>
      <c r="B375" s="6" t="inlineStr">
        <is>
          <t>1.114,00</t>
        </is>
      </c>
      <c r="C375" s="6" t="inlineStr">
        <is>
          <t>12/03/2026</t>
        </is>
      </c>
      <c r="D375" s="6" t="inlineStr">
        <is>
          <t>INSTALACION MAQUINA AEROTERMIA DAIKIN #instalaciones/aacc</t>
        </is>
      </c>
      <c r="E375" s="6" t="inlineStr">
        <is>
          <t>GOCLIMA FRIO Y CALOR SL</t>
        </is>
      </c>
      <c r="F375" s="6" t="inlineStr">
        <is>
          <t>IMPUTADO</t>
        </is>
      </c>
      <c r="G375" s="4" t="n">
        <v>799</v>
      </c>
    </row>
    <row r="376">
      <c r="A376" s="6" t="inlineStr">
        <is>
          <t>OBRA C/FORMENTERA,14 ASPE (JUANMA)</t>
        </is>
      </c>
      <c r="B376" s="6" t="inlineStr">
        <is>
          <t>1.148,00</t>
        </is>
      </c>
      <c r="C376" s="6" t="inlineStr">
        <is>
          <t>31/03/2026</t>
        </is>
      </c>
      <c r="D376" s="6" t="inlineStr">
        <is>
          <t>PREMARCOS</t>
        </is>
      </c>
      <c r="E376" s="6" t="inlineStr">
        <is>
          <t>CARPINTERIA LOVI-BLOCK SL</t>
        </is>
      </c>
      <c r="F376" s="6" t="inlineStr">
        <is>
          <t>IMPUTADO</t>
        </is>
      </c>
      <c r="G376" s="4" t="n">
        <v>780</v>
      </c>
    </row>
    <row r="377">
      <c r="A377" s="6" t="inlineStr">
        <is>
          <t>OBRA C/FORMENTERA,14 ASPE (JUANMA)</t>
        </is>
      </c>
      <c r="B377" s="6" t="inlineStr">
        <is>
          <t>510,00</t>
        </is>
      </c>
      <c r="C377" s="6" t="inlineStr">
        <is>
          <t>18/02/2026</t>
        </is>
      </c>
      <c r="D377" s="6" t="inlineStr">
        <is>
          <t>CORONA PISCINA</t>
        </is>
      </c>
      <c r="E377" s="6" t="inlineStr">
        <is>
          <t>ARENISCAS DEL SURESTE SL</t>
        </is>
      </c>
      <c r="F377" s="6" t="inlineStr">
        <is>
          <t>IMPUTADO</t>
        </is>
      </c>
      <c r="G377" s="4" t="n">
        <v>760</v>
      </c>
    </row>
    <row r="378">
      <c r="A378" s="6" t="inlineStr">
        <is>
          <t>OBRA C/FORMENTERA,14 ASPE (JUANMA)</t>
        </is>
      </c>
      <c r="B378" s="6" t="inlineStr">
        <is>
          <t>82,00</t>
        </is>
      </c>
      <c r="C378" s="6" t="inlineStr">
        <is>
          <t>18/02/2026</t>
        </is>
      </c>
      <c r="D378" s="6" t="inlineStr">
        <is>
          <t>BOMBEOS LORENZO</t>
        </is>
      </c>
      <c r="E378" s="6" t="inlineStr"/>
      <c r="F378" s="6" t="inlineStr">
        <is>
          <t>IMPUTADO</t>
        </is>
      </c>
      <c r="G378" s="4" t="n">
        <v>742.5</v>
      </c>
    </row>
    <row r="379">
      <c r="A379" s="6" t="inlineStr">
        <is>
          <t>OBRA C/FORMENTERA,14 ASPE (JUANMA)</t>
        </is>
      </c>
      <c r="B379" s="6" t="inlineStr">
        <is>
          <t>183,00</t>
        </is>
      </c>
      <c r="C379" s="6" t="inlineStr">
        <is>
          <t>18/02/2026</t>
        </is>
      </c>
      <c r="D379" s="6" t="inlineStr">
        <is>
          <t>MATERIAL OBRA</t>
        </is>
      </c>
      <c r="E379" s="6" t="inlineStr"/>
      <c r="F379" s="6" t="inlineStr">
        <is>
          <t>IMPUTADO</t>
        </is>
      </c>
      <c r="G379" s="4" t="n">
        <v>695.3200000000001</v>
      </c>
    </row>
    <row r="380">
      <c r="A380" s="6" t="inlineStr">
        <is>
          <t>OBRA C/FORMENTERA,14 ASPE (JUANMA)</t>
        </is>
      </c>
      <c r="B380" s="6" t="inlineStr">
        <is>
          <t>217,00</t>
        </is>
      </c>
      <c r="C380" s="6" t="inlineStr">
        <is>
          <t>18/02/2026</t>
        </is>
      </c>
      <c r="D380" s="6" t="inlineStr">
        <is>
          <t>AISLANTE</t>
        </is>
      </c>
      <c r="E380" s="6" t="inlineStr"/>
      <c r="F380" s="6" t="inlineStr">
        <is>
          <t>IMPUTADO</t>
        </is>
      </c>
      <c r="G380" s="4" t="n">
        <v>676.48</v>
      </c>
    </row>
    <row r="381">
      <c r="A381" s="6" t="inlineStr">
        <is>
          <t>OBRA C/FORMENTERA,14 ASPE (JUANMA)</t>
        </is>
      </c>
      <c r="B381" s="6" t="inlineStr">
        <is>
          <t>398,00</t>
        </is>
      </c>
      <c r="C381" s="6" t="inlineStr">
        <is>
          <t>18/02/2026</t>
        </is>
      </c>
      <c r="D381" s="6" t="inlineStr">
        <is>
          <t>HORMIGONAR</t>
        </is>
      </c>
      <c r="E381" s="6" t="inlineStr">
        <is>
          <t>GRUAS Y MAQUINARIA PETREL SL</t>
        </is>
      </c>
      <c r="F381" s="6" t="inlineStr">
        <is>
          <t>IMPUTADO</t>
        </is>
      </c>
      <c r="G381" s="4" t="n">
        <v>665</v>
      </c>
    </row>
    <row r="382">
      <c r="A382" s="6" t="inlineStr">
        <is>
          <t>OBRA C/FORMENTERA,14 ASPE (JUANMA)</t>
        </is>
      </c>
      <c r="B382" s="6" t="inlineStr">
        <is>
          <t>232,00</t>
        </is>
      </c>
      <c r="C382" s="6" t="inlineStr">
        <is>
          <t>18/02/2026</t>
        </is>
      </c>
      <c r="D382" s="6" t="inlineStr">
        <is>
          <t>GRABA CUBIERTA</t>
        </is>
      </c>
      <c r="E382" s="6" t="inlineStr"/>
      <c r="F382" s="6" t="inlineStr">
        <is>
          <t>IMPUTADO</t>
        </is>
      </c>
      <c r="G382" s="4" t="n">
        <v>663.54</v>
      </c>
    </row>
    <row r="383">
      <c r="A383" s="6" t="inlineStr">
        <is>
          <t>OBRA C/FORMENTERA,14 ASPE (JUANMA)</t>
        </is>
      </c>
      <c r="B383" s="6" t="inlineStr">
        <is>
          <t>448,00</t>
        </is>
      </c>
      <c r="C383" s="6" t="inlineStr">
        <is>
          <t>18/02/2026</t>
        </is>
      </c>
      <c r="D383" s="6" t="inlineStr">
        <is>
          <t>SACA GRAVIN</t>
        </is>
      </c>
      <c r="E383" s="6" t="inlineStr"/>
      <c r="F383" s="6" t="inlineStr">
        <is>
          <t>IMPUTADO</t>
        </is>
      </c>
      <c r="G383" s="4" t="n">
        <v>637</v>
      </c>
    </row>
    <row r="384">
      <c r="A384" s="6" t="inlineStr">
        <is>
          <t>OBRA C/FORMENTERA,14 ASPE (JUANMA)</t>
        </is>
      </c>
      <c r="B384" s="6" t="inlineStr">
        <is>
          <t>1.758,00</t>
        </is>
      </c>
      <c r="C384" s="6" t="inlineStr">
        <is>
          <t>10/07/2026</t>
        </is>
      </c>
      <c r="D384" s="6" t="inlineStr">
        <is>
          <t>INSTALACIÓN ANTENA PARABÓLICA</t>
        </is>
      </c>
      <c r="E384" s="6" t="inlineStr">
        <is>
          <t>GINES MARCO PEREA</t>
        </is>
      </c>
      <c r="F384" s="6" t="inlineStr">
        <is>
          <t>IMPUTADO</t>
        </is>
      </c>
      <c r="G384" s="4" t="n">
        <v>611</v>
      </c>
    </row>
    <row r="385">
      <c r="A385" s="6" t="inlineStr">
        <is>
          <t>OBRA C/FORMENTERA,14 ASPE (JUANMA)</t>
        </is>
      </c>
      <c r="B385" s="6" t="inlineStr">
        <is>
          <t>96,00</t>
        </is>
      </c>
      <c r="C385" s="6" t="inlineStr">
        <is>
          <t>18/02/2026</t>
        </is>
      </c>
      <c r="D385" s="6" t="inlineStr">
        <is>
          <t>HORAS CAMIÓN</t>
        </is>
      </c>
      <c r="E385" s="6" t="inlineStr">
        <is>
          <t>TREXGRUCO SL.</t>
        </is>
      </c>
      <c r="F385" s="6" t="inlineStr">
        <is>
          <t>IMPUTADO</t>
        </is>
      </c>
      <c r="G385" s="4" t="n">
        <v>600</v>
      </c>
    </row>
    <row r="386">
      <c r="A386" s="6" t="inlineStr">
        <is>
          <t>OBRA C/FORMENTERA,14 ASPE (JUANMA)</t>
        </is>
      </c>
      <c r="B386" s="6" t="inlineStr">
        <is>
          <t>367,00</t>
        </is>
      </c>
      <c r="C386" s="6" t="inlineStr">
        <is>
          <t>18/02/2026</t>
        </is>
      </c>
      <c r="D386" s="6" t="inlineStr">
        <is>
          <t>ROCA PULPO</t>
        </is>
      </c>
      <c r="E386" s="6" t="inlineStr"/>
      <c r="F386" s="6" t="inlineStr">
        <is>
          <t>IMPUTADO</t>
        </is>
      </c>
      <c r="G386" s="4" t="n">
        <v>597.6</v>
      </c>
    </row>
    <row r="387">
      <c r="A387" s="6" t="inlineStr">
        <is>
          <t>OBRA C/FORMENTERA,14 ASPE (JUANMA)</t>
        </is>
      </c>
      <c r="B387" s="6" t="inlineStr">
        <is>
          <t>377,00</t>
        </is>
      </c>
      <c r="C387" s="6" t="inlineStr">
        <is>
          <t>18/02/2026</t>
        </is>
      </c>
      <c r="D387" s="6" t="inlineStr">
        <is>
          <t>MATERIAL VARIO</t>
        </is>
      </c>
      <c r="E387" s="6" t="inlineStr"/>
      <c r="F387" s="6" t="inlineStr">
        <is>
          <t>IMPUTADO</t>
        </is>
      </c>
      <c r="G387" s="4" t="n">
        <v>539</v>
      </c>
    </row>
    <row r="388">
      <c r="A388" s="6" t="inlineStr">
        <is>
          <t>OBRA C/FORMENTERA,14 ASPE (JUANMA)</t>
        </is>
      </c>
      <c r="B388" s="6" t="inlineStr">
        <is>
          <t>370,00</t>
        </is>
      </c>
      <c r="C388" s="6" t="inlineStr">
        <is>
          <t>18/02/2026</t>
        </is>
      </c>
      <c r="D388" s="6" t="inlineStr">
        <is>
          <t>TRAMO DE CONDUCTO</t>
        </is>
      </c>
      <c r="E388" s="6" t="inlineStr"/>
      <c r="F388" s="6" t="inlineStr">
        <is>
          <t>IMPUTADO</t>
        </is>
      </c>
      <c r="G388" s="4" t="n">
        <v>509</v>
      </c>
    </row>
    <row r="389">
      <c r="A389" s="6" t="inlineStr">
        <is>
          <t>OBRA C/FORMENTERA,14 ASPE (JUANMA)</t>
        </is>
      </c>
      <c r="B389" s="6" t="inlineStr">
        <is>
          <t>241,00</t>
        </is>
      </c>
      <c r="C389" s="6" t="inlineStr">
        <is>
          <t>18/02/2026</t>
        </is>
      </c>
      <c r="D389" s="6" t="inlineStr">
        <is>
          <t>MATERIAL</t>
        </is>
      </c>
      <c r="E389" s="6" t="inlineStr">
        <is>
          <t>SALTOKI ALICANTE SL.</t>
        </is>
      </c>
      <c r="F389" s="6" t="inlineStr">
        <is>
          <t>IMPUTADO</t>
        </is>
      </c>
      <c r="G389" s="4" t="n">
        <v>504.26</v>
      </c>
    </row>
    <row r="390">
      <c r="A390" s="6" t="inlineStr">
        <is>
          <t>OBRA C/FORMENTERA,14 ASPE (JUANMA)</t>
        </is>
      </c>
      <c r="B390" s="6" t="inlineStr">
        <is>
          <t>324,00</t>
        </is>
      </c>
      <c r="C390" s="6" t="inlineStr">
        <is>
          <t>18/02/2026</t>
        </is>
      </c>
      <c r="D390" s="6" t="inlineStr">
        <is>
          <t>RODAPIE</t>
        </is>
      </c>
      <c r="E390" s="6" t="inlineStr"/>
      <c r="F390" s="6" t="inlineStr">
        <is>
          <t>IMPUTADO</t>
        </is>
      </c>
      <c r="G390" s="4" t="n">
        <v>495</v>
      </c>
    </row>
    <row r="391">
      <c r="A391" s="6" t="inlineStr">
        <is>
          <t>OBRA C/FORMENTERA,14 ASPE (JUANMA)</t>
        </is>
      </c>
      <c r="B391" s="6" t="inlineStr">
        <is>
          <t>498,00</t>
        </is>
      </c>
      <c r="C391" s="6" t="inlineStr">
        <is>
          <t>18/02/2026</t>
        </is>
      </c>
      <c r="D391" s="6" t="inlineStr">
        <is>
          <t>TAPA ARQUETA</t>
        </is>
      </c>
      <c r="E391" s="6" t="inlineStr">
        <is>
          <t>ALEJANDRO CUTILLAS CAÑABATE</t>
        </is>
      </c>
      <c r="F391" s="6" t="inlineStr">
        <is>
          <t>IMPUTADO</t>
        </is>
      </c>
      <c r="G391" s="4" t="n">
        <v>493.9</v>
      </c>
    </row>
    <row r="392">
      <c r="A392" s="6" t="inlineStr">
        <is>
          <t>OBRA C/FORMENTERA,14 ASPE (JUANMA)</t>
        </is>
      </c>
      <c r="B392" s="6" t="inlineStr">
        <is>
          <t>198,00</t>
        </is>
      </c>
      <c r="C392" s="6" t="inlineStr">
        <is>
          <t>14/03/2025</t>
        </is>
      </c>
      <c r="D392" s="6" t="inlineStr">
        <is>
          <t>MATERIAL OBRA</t>
        </is>
      </c>
      <c r="E392" s="6" t="inlineStr"/>
      <c r="F392" s="6" t="inlineStr">
        <is>
          <t>IMPUTADO</t>
        </is>
      </c>
      <c r="G392" s="4" t="n">
        <v>492.56</v>
      </c>
    </row>
    <row r="393">
      <c r="A393" s="6" t="inlineStr">
        <is>
          <t>OBRA C/FORMENTERA,14 ASPE (JUANMA)</t>
        </is>
      </c>
      <c r="B393" s="6" t="inlineStr">
        <is>
          <t>462,00</t>
        </is>
      </c>
      <c r="C393" s="6" t="inlineStr">
        <is>
          <t>18/02/2026</t>
        </is>
      </c>
      <c r="D393" s="6" t="inlineStr">
        <is>
          <t>SACA GRAVIN</t>
        </is>
      </c>
      <c r="E393" s="6" t="inlineStr"/>
      <c r="F393" s="6" t="inlineStr">
        <is>
          <t>IMPUTADO</t>
        </is>
      </c>
      <c r="G393" s="4" t="n">
        <v>473.2</v>
      </c>
    </row>
    <row r="394">
      <c r="A394" s="6" t="inlineStr">
        <is>
          <t>OBRA C/FORMENTERA,14 ASPE (JUANMA)</t>
        </is>
      </c>
      <c r="B394" s="6" t="inlineStr">
        <is>
          <t>276,00</t>
        </is>
      </c>
      <c r="C394" s="6" t="inlineStr">
        <is>
          <t>18/02/2026</t>
        </is>
      </c>
      <c r="D394" s="6" t="inlineStr">
        <is>
          <t>CONTENEDORES</t>
        </is>
      </c>
      <c r="E394" s="6" t="inlineStr"/>
      <c r="F394" s="6" t="inlineStr">
        <is>
          <t>IMPUTADO</t>
        </is>
      </c>
      <c r="G394" s="4" t="n">
        <v>460</v>
      </c>
    </row>
    <row r="395">
      <c r="A395" s="6" t="inlineStr">
        <is>
          <t>OBRA C/FORMENTERA,14 ASPE (JUANMA)</t>
        </is>
      </c>
      <c r="B395" s="6" t="inlineStr">
        <is>
          <t>1.210,00</t>
        </is>
      </c>
      <c r="C395" s="6" t="inlineStr">
        <is>
          <t>03/04/2026</t>
        </is>
      </c>
      <c r="D395" s="6" t="inlineStr">
        <is>
          <t>ENSAYO BLOWER-DOOR</t>
        </is>
      </c>
      <c r="E395" s="6" t="inlineStr">
        <is>
          <t>LABORATORIO DE INGENIERIA Y MEDIO AMBIENTE SA.</t>
        </is>
      </c>
      <c r="F395" s="6" t="inlineStr">
        <is>
          <t>IMPUTADO</t>
        </is>
      </c>
      <c r="G395" s="4" t="n">
        <v>450</v>
      </c>
    </row>
    <row r="396">
      <c r="A396" s="6" t="inlineStr">
        <is>
          <t>OBRA C/FORMENTERA,14 ASPE (JUANMA)</t>
        </is>
      </c>
      <c r="B396" s="6" t="inlineStr">
        <is>
          <t>1.163,00</t>
        </is>
      </c>
      <c r="C396" s="6" t="inlineStr">
        <is>
          <t>03/04/2026</t>
        </is>
      </c>
      <c r="D396" s="6" t="inlineStr">
        <is>
          <t>PLADUR #montaje,  mano de obra cerramiento de pladur</t>
        </is>
      </c>
      <c r="E396" s="6" t="inlineStr">
        <is>
          <t>FRANCISCO JAVIER GONZALEZ MARTINEZ</t>
        </is>
      </c>
      <c r="F396" s="6" t="inlineStr">
        <is>
          <t>IMPUTADO</t>
        </is>
      </c>
      <c r="G396" s="4" t="n">
        <v>425</v>
      </c>
    </row>
    <row r="397">
      <c r="A397" s="6" t="inlineStr">
        <is>
          <t>OBRA C/FORMENTERA,14 ASPE (JUANMA)</t>
        </is>
      </c>
      <c r="B397" s="6" t="inlineStr">
        <is>
          <t>428,00</t>
        </is>
      </c>
      <c r="C397" s="6" t="inlineStr">
        <is>
          <t>18/02/2026</t>
        </is>
      </c>
      <c r="D397" s="6" t="inlineStr">
        <is>
          <t>GRUAS</t>
        </is>
      </c>
      <c r="E397" s="6" t="inlineStr">
        <is>
          <t>GRUAS Y MAQUINARIA PETREL SL</t>
        </is>
      </c>
      <c r="F397" s="6" t="inlineStr">
        <is>
          <t>IMPUTADO</t>
        </is>
      </c>
      <c r="G397" s="4" t="n">
        <v>420</v>
      </c>
    </row>
    <row r="398">
      <c r="A398" s="6" t="inlineStr">
        <is>
          <t>OBRA C/FORMENTERA,14 ASPE (JUANMA)</t>
        </is>
      </c>
      <c r="B398" s="6" t="inlineStr">
        <is>
          <t>268,00</t>
        </is>
      </c>
      <c r="C398" s="6" t="inlineStr">
        <is>
          <t>18/02/2026</t>
        </is>
      </c>
      <c r="D398" s="6" t="inlineStr">
        <is>
          <t>CIMENTACIÓN PISCINA</t>
        </is>
      </c>
      <c r="E398" s="6" t="inlineStr">
        <is>
          <t>TREXGRUCO SL.</t>
        </is>
      </c>
      <c r="F398" s="6" t="inlineStr">
        <is>
          <t>IMPUTADO</t>
        </is>
      </c>
      <c r="G398" s="4" t="n">
        <v>420</v>
      </c>
    </row>
    <row r="399">
      <c r="A399" s="6" t="inlineStr">
        <is>
          <t>OBRA C/FORMENTERA,14 ASPE (JUANMA)</t>
        </is>
      </c>
      <c r="B399" s="6" t="inlineStr">
        <is>
          <t>229,00</t>
        </is>
      </c>
      <c r="C399" s="6" t="inlineStr">
        <is>
          <t>18/02/2026</t>
        </is>
      </c>
      <c r="D399" s="6" t="inlineStr">
        <is>
          <t>GRUA</t>
        </is>
      </c>
      <c r="E399" s="6" t="inlineStr">
        <is>
          <t>GRUAS Y MAQUINARIA PETREL SL</t>
        </is>
      </c>
      <c r="F399" s="6" t="inlineStr">
        <is>
          <t>IMPUTADO</t>
        </is>
      </c>
      <c r="G399" s="4" t="n">
        <v>420</v>
      </c>
    </row>
    <row r="400">
      <c r="A400" s="6" t="inlineStr">
        <is>
          <t>OBRA C/FORMENTERA,14 ASPE (JUANMA)</t>
        </is>
      </c>
      <c r="B400" s="6" t="inlineStr">
        <is>
          <t>1.118,00</t>
        </is>
      </c>
      <c r="C400" s="6" t="inlineStr">
        <is>
          <t>12/03/2026</t>
        </is>
      </c>
      <c r="D400" s="6" t="inlineStr">
        <is>
          <t>CÉSPED ARTIFICIAL</t>
        </is>
      </c>
      <c r="E400" s="6" t="inlineStr">
        <is>
          <t>ECONATURA DESIGN SL</t>
        </is>
      </c>
      <c r="F400" s="6" t="inlineStr">
        <is>
          <t>IMPUTADO</t>
        </is>
      </c>
      <c r="G400" s="4" t="n">
        <v>405.45</v>
      </c>
    </row>
    <row r="401">
      <c r="A401" s="6" t="inlineStr">
        <is>
          <t>OBRA C/FORMENTERA,14 ASPE (JUANMA)</t>
        </is>
      </c>
      <c r="B401" s="6" t="inlineStr">
        <is>
          <t>166,00</t>
        </is>
      </c>
      <c r="C401" s="6" t="inlineStr">
        <is>
          <t>18/02/2026</t>
        </is>
      </c>
      <c r="D401" s="6" t="inlineStr">
        <is>
          <t>MATERIAL</t>
        </is>
      </c>
      <c r="E401" s="6" t="inlineStr"/>
      <c r="F401" s="6" t="inlineStr">
        <is>
          <t>IMPUTADO</t>
        </is>
      </c>
      <c r="G401" s="4" t="n">
        <v>403.82</v>
      </c>
    </row>
    <row r="402">
      <c r="A402" s="6" t="inlineStr">
        <is>
          <t>OBRA C/FORMENTERA,14 ASPE (JUANMA)</t>
        </is>
      </c>
      <c r="B402" s="6" t="inlineStr">
        <is>
          <t>44,00</t>
        </is>
      </c>
      <c r="C402" s="6" t="inlineStr">
        <is>
          <t>18/02/2026</t>
        </is>
      </c>
      <c r="D402" s="6" t="inlineStr">
        <is>
          <t>TRABAJOS TOPÓGRAFO</t>
        </is>
      </c>
      <c r="E402" s="6" t="inlineStr"/>
      <c r="F402" s="6" t="inlineStr">
        <is>
          <t>IMPUTADO</t>
        </is>
      </c>
      <c r="G402" s="4" t="n">
        <v>400</v>
      </c>
    </row>
    <row r="403">
      <c r="A403" s="6" t="inlineStr">
        <is>
          <t>OBRA C/FORMENTERA,14 ASPE (JUANMA)</t>
        </is>
      </c>
      <c r="B403" s="6" t="inlineStr">
        <is>
          <t>88,00</t>
        </is>
      </c>
      <c r="C403" s="6" t="inlineStr">
        <is>
          <t>30/01/2025</t>
        </is>
      </c>
      <c r="D403" s="6" t="inlineStr">
        <is>
          <t>CABLE COBRE</t>
        </is>
      </c>
      <c r="E403" s="6" t="inlineStr"/>
      <c r="F403" s="6" t="inlineStr">
        <is>
          <t>IMPUTADO</t>
        </is>
      </c>
      <c r="G403" s="4" t="n">
        <v>399.42</v>
      </c>
    </row>
    <row r="404">
      <c r="A404" s="6" t="inlineStr">
        <is>
          <t>OBRA C/FORMENTERA,14 ASPE (JUANMA)</t>
        </is>
      </c>
      <c r="B404" s="6" t="inlineStr">
        <is>
          <t>248,00</t>
        </is>
      </c>
      <c r="C404" s="6" t="inlineStr">
        <is>
          <t>18/02/2026</t>
        </is>
      </c>
      <c r="D404" s="6" t="inlineStr">
        <is>
          <t>GRUA</t>
        </is>
      </c>
      <c r="E404" s="6" t="inlineStr">
        <is>
          <t>GRUAS Y MAQUINARIA PETREL SL</t>
        </is>
      </c>
      <c r="F404" s="6" t="inlineStr">
        <is>
          <t>IMPUTADO</t>
        </is>
      </c>
      <c r="G404" s="4" t="n">
        <v>385</v>
      </c>
    </row>
    <row r="405">
      <c r="A405" s="6" t="inlineStr">
        <is>
          <t>OBRA C/FORMENTERA,14 ASPE (JUANMA)</t>
        </is>
      </c>
      <c r="B405" s="6" t="inlineStr">
        <is>
          <t>509,00</t>
        </is>
      </c>
      <c r="C405" s="6" t="inlineStr">
        <is>
          <t>18/02/2026</t>
        </is>
      </c>
      <c r="D405" s="6" t="inlineStr">
        <is>
          <t>RODAPIE CERAMICO</t>
        </is>
      </c>
      <c r="E405" s="6" t="inlineStr"/>
      <c r="F405" s="6" t="inlineStr">
        <is>
          <t>IMPUTADO</t>
        </is>
      </c>
      <c r="G405" s="4" t="n">
        <v>378</v>
      </c>
    </row>
    <row r="406">
      <c r="A406" s="6" t="inlineStr">
        <is>
          <t>OBRA C/FORMENTERA,14 ASPE (JUANMA)</t>
        </is>
      </c>
      <c r="B406" s="6" t="inlineStr">
        <is>
          <t>270,00</t>
        </is>
      </c>
      <c r="C406" s="6" t="inlineStr">
        <is>
          <t>18/02/2026</t>
        </is>
      </c>
      <c r="D406" s="6" t="inlineStr">
        <is>
          <t>MORTERO FASSA</t>
        </is>
      </c>
      <c r="E406" s="6" t="inlineStr"/>
      <c r="F406" s="6" t="inlineStr">
        <is>
          <t>IMPUTADO</t>
        </is>
      </c>
      <c r="G406" s="4" t="n">
        <v>371.78</v>
      </c>
    </row>
    <row r="407">
      <c r="A407" s="6" t="inlineStr">
        <is>
          <t>OBRA C/FORMENTERA,14 ASPE (JUANMA)</t>
        </is>
      </c>
      <c r="B407" s="6" t="inlineStr">
        <is>
          <t>1.119,00</t>
        </is>
      </c>
      <c r="C407" s="6" t="inlineStr">
        <is>
          <t>31/03/2026</t>
        </is>
      </c>
      <c r="D407" s="6" t="inlineStr">
        <is>
          <t>GRIFERIA EMPOTRADA</t>
        </is>
      </c>
      <c r="E407" s="6" t="inlineStr">
        <is>
          <t>SALTOKI ELCHE SL.</t>
        </is>
      </c>
      <c r="F407" s="6" t="inlineStr">
        <is>
          <t>IMPUTADO</t>
        </is>
      </c>
      <c r="G407" s="4" t="n">
        <v>368.5</v>
      </c>
    </row>
    <row r="408">
      <c r="A408" s="6" t="inlineStr">
        <is>
          <t>OBRA C/FORMENTERA,14 ASPE (JUANMA)</t>
        </is>
      </c>
      <c r="B408" s="6" t="inlineStr">
        <is>
          <t>463,00</t>
        </is>
      </c>
      <c r="C408" s="6" t="inlineStr">
        <is>
          <t>18/02/2026</t>
        </is>
      </c>
      <c r="D408" s="6" t="inlineStr">
        <is>
          <t>CEMENTO COLA</t>
        </is>
      </c>
      <c r="E408" s="6" t="inlineStr"/>
      <c r="F408" s="6" t="inlineStr">
        <is>
          <t>IMPUTADO</t>
        </is>
      </c>
      <c r="G408" s="4" t="n">
        <v>357.71</v>
      </c>
    </row>
    <row r="409">
      <c r="A409" s="6" t="inlineStr">
        <is>
          <t>OBRA C/FORMENTERA,14 ASPE (JUANMA)</t>
        </is>
      </c>
      <c r="B409" s="6" t="inlineStr">
        <is>
          <t>1.781,00</t>
        </is>
      </c>
      <c r="C409" s="6" t="inlineStr">
        <is>
          <t>10/07/2026</t>
        </is>
      </c>
      <c r="D409" s="6" t="inlineStr">
        <is>
          <t>50% CONTROL EXTERNO CERTIFICACION ENERGETICA</t>
        </is>
      </c>
      <c r="E409" s="6" t="inlineStr">
        <is>
          <t>LABORATORIO DE INGENIERIA Y MEDIO AMBIENTE SA.</t>
        </is>
      </c>
      <c r="F409" s="6" t="inlineStr">
        <is>
          <t>IMPUTADO</t>
        </is>
      </c>
      <c r="G409" s="4" t="n">
        <v>355</v>
      </c>
    </row>
    <row r="410">
      <c r="A410" s="6" t="inlineStr">
        <is>
          <t>OBRA C/FORMENTERA,14 ASPE (JUANMA)</t>
        </is>
      </c>
      <c r="B410" s="6" t="inlineStr">
        <is>
          <t>1.168,00</t>
        </is>
      </c>
      <c r="C410" s="6" t="inlineStr">
        <is>
          <t>03/04/2026</t>
        </is>
      </c>
      <c r="D410" s="6" t="inlineStr">
        <is>
          <t>CONTROL EXTERNO #eficiencia energética</t>
        </is>
      </c>
      <c r="E410" s="6" t="inlineStr">
        <is>
          <t>LABORATORIO DE INGENIERIA Y MEDIO AMBIENTE SA.</t>
        </is>
      </c>
      <c r="F410" s="6" t="inlineStr">
        <is>
          <t>IMPUTADO</t>
        </is>
      </c>
      <c r="G410" s="4" t="n">
        <v>355</v>
      </c>
    </row>
    <row r="411">
      <c r="A411" s="6" t="inlineStr">
        <is>
          <t>OBRA C/FORMENTERA,14 ASPE (JUANMA)</t>
        </is>
      </c>
      <c r="B411" s="6" t="inlineStr">
        <is>
          <t>410,00</t>
        </is>
      </c>
      <c r="C411" s="6" t="inlineStr">
        <is>
          <t>18/02/2026</t>
        </is>
      </c>
      <c r="D411" s="6" t="inlineStr">
        <is>
          <t>50% CERTIFICACION ENERGÉTICA</t>
        </is>
      </c>
      <c r="E411" s="6" t="inlineStr"/>
      <c r="F411" s="6" t="inlineStr">
        <is>
          <t>IMPUTADO</t>
        </is>
      </c>
      <c r="G411" s="4" t="n">
        <v>355</v>
      </c>
    </row>
    <row r="412">
      <c r="A412" s="6" t="inlineStr">
        <is>
          <t>OBRA C/FORMENTERA,14 ASPE (JUANMA)</t>
        </is>
      </c>
      <c r="B412" s="6" t="inlineStr">
        <is>
          <t>195,00</t>
        </is>
      </c>
      <c r="C412" s="6" t="inlineStr">
        <is>
          <t>14/03/2025</t>
        </is>
      </c>
      <c r="D412" s="6" t="inlineStr">
        <is>
          <t>ALAMBRE PISTOLA</t>
        </is>
      </c>
      <c r="E412" s="6" t="inlineStr"/>
      <c r="F412" s="6" t="inlineStr">
        <is>
          <t>IMPUTADO</t>
        </is>
      </c>
      <c r="G412" s="4" t="n">
        <v>354</v>
      </c>
    </row>
    <row r="413">
      <c r="A413" s="6" t="inlineStr">
        <is>
          <t>OBRA C/FORMENTERA,14 ASPE (JUANMA)</t>
        </is>
      </c>
      <c r="B413" s="6" t="inlineStr">
        <is>
          <t>419,00</t>
        </is>
      </c>
      <c r="C413" s="6" t="inlineStr">
        <is>
          <t>18/02/2026</t>
        </is>
      </c>
      <c r="D413" s="6" t="inlineStr">
        <is>
          <t>CONTENEDORES</t>
        </is>
      </c>
      <c r="E413" s="6" t="inlineStr"/>
      <c r="F413" s="6" t="inlineStr">
        <is>
          <t>IMPUTADO</t>
        </is>
      </c>
      <c r="G413" s="4" t="n">
        <v>350</v>
      </c>
    </row>
    <row r="414">
      <c r="A414" s="6" t="inlineStr">
        <is>
          <t>OBRA C/FORMENTERA,14 ASPE (JUANMA)</t>
        </is>
      </c>
      <c r="B414" s="6" t="inlineStr">
        <is>
          <t>531,00</t>
        </is>
      </c>
      <c r="C414" s="6" t="inlineStr">
        <is>
          <t>18/02/2026</t>
        </is>
      </c>
      <c r="D414" s="6" t="inlineStr">
        <is>
          <t>MATERIAL OBRA</t>
        </is>
      </c>
      <c r="E414" s="6" t="inlineStr">
        <is>
          <t>CONSYDECOR SL</t>
        </is>
      </c>
      <c r="F414" s="6" t="inlineStr">
        <is>
          <t>IMPUTADO</t>
        </is>
      </c>
      <c r="G414" s="4" t="n">
        <v>346.48</v>
      </c>
    </row>
    <row r="415">
      <c r="A415" s="6" t="inlineStr">
        <is>
          <t>OBRA C/FORMENTERA,14 ASPE (JUANMA)</t>
        </is>
      </c>
      <c r="B415" s="6" t="inlineStr">
        <is>
          <t>527,00</t>
        </is>
      </c>
      <c r="C415" s="6" t="inlineStr">
        <is>
          <t>18/02/2026</t>
        </is>
      </c>
      <c r="D415" s="6" t="inlineStr">
        <is>
          <t>KIT PLATO DE DUCHA</t>
        </is>
      </c>
      <c r="E415" s="6" t="inlineStr"/>
      <c r="F415" s="6" t="inlineStr">
        <is>
          <t>IMPUTADO</t>
        </is>
      </c>
      <c r="G415" s="4" t="n">
        <v>344.63</v>
      </c>
    </row>
    <row r="416">
      <c r="A416" s="6" t="inlineStr">
        <is>
          <t>OBRA C/FORMENTERA,14 ASPE (JUANMA)</t>
        </is>
      </c>
      <c r="B416" s="6" t="inlineStr">
        <is>
          <t>511,00</t>
        </is>
      </c>
      <c r="C416" s="6" t="inlineStr">
        <is>
          <t>18/02/2026</t>
        </is>
      </c>
      <c r="D416" s="6" t="inlineStr">
        <is>
          <t>APLIUES LUZ</t>
        </is>
      </c>
      <c r="E416" s="6" t="inlineStr"/>
      <c r="F416" s="6" t="inlineStr">
        <is>
          <t>IMPUTADO</t>
        </is>
      </c>
      <c r="G416" s="4" t="n">
        <v>334.78</v>
      </c>
    </row>
    <row r="417">
      <c r="A417" s="6" t="inlineStr">
        <is>
          <t>OBRA C/FORMENTERA,14 ASPE (JUANMA)</t>
        </is>
      </c>
      <c r="B417" s="6" t="inlineStr">
        <is>
          <t>264,00</t>
        </is>
      </c>
      <c r="C417" s="6" t="inlineStr">
        <is>
          <t>18/02/2026</t>
        </is>
      </c>
      <c r="D417" s="6" t="inlineStr">
        <is>
          <t>CONTROL CALIDAD IMASA</t>
        </is>
      </c>
      <c r="E417" s="6" t="inlineStr"/>
      <c r="F417" s="6" t="inlineStr">
        <is>
          <t>IMPUTADO</t>
        </is>
      </c>
      <c r="G417" s="4" t="n">
        <v>330</v>
      </c>
    </row>
    <row r="418">
      <c r="A418" s="6" t="inlineStr">
        <is>
          <t>OBRA C/FORMENTERA,14 ASPE (JUANMA)</t>
        </is>
      </c>
      <c r="B418" s="6" t="inlineStr">
        <is>
          <t>449,00</t>
        </is>
      </c>
      <c r="C418" s="6" t="inlineStr">
        <is>
          <t>18/02/2026</t>
        </is>
      </c>
      <c r="D418" s="6" t="inlineStr">
        <is>
          <t>SACA GRAVIN</t>
        </is>
      </c>
      <c r="E418" s="6" t="inlineStr"/>
      <c r="F418" s="6" t="inlineStr">
        <is>
          <t>IMPUTADO</t>
        </is>
      </c>
      <c r="G418" s="4" t="n">
        <v>327.43</v>
      </c>
    </row>
    <row r="419">
      <c r="A419" s="6" t="inlineStr">
        <is>
          <t>OBRA C/FORMENTERA,14 ASPE (JUANMA)</t>
        </is>
      </c>
      <c r="B419" s="6" t="inlineStr">
        <is>
          <t>368,00</t>
        </is>
      </c>
      <c r="C419" s="6" t="inlineStr">
        <is>
          <t>18/02/2026</t>
        </is>
      </c>
      <c r="D419" s="6" t="inlineStr">
        <is>
          <t>MORCEM ESTUCO</t>
        </is>
      </c>
      <c r="E419" s="6" t="inlineStr"/>
      <c r="F419" s="6" t="inlineStr">
        <is>
          <t>IMPUTADO</t>
        </is>
      </c>
      <c r="G419" s="4" t="n">
        <v>325.44</v>
      </c>
    </row>
    <row r="420">
      <c r="A420" s="6" t="inlineStr">
        <is>
          <t>OBRA C/FORMENTERA,14 ASPE (JUANMA)</t>
        </is>
      </c>
      <c r="B420" s="6" t="inlineStr">
        <is>
          <t>220,00</t>
        </is>
      </c>
      <c r="C420" s="6" t="inlineStr">
        <is>
          <t>18/02/2026</t>
        </is>
      </c>
      <c r="D420" s="6" t="inlineStr">
        <is>
          <t>ALQUILER MATERIAL</t>
        </is>
      </c>
      <c r="E420" s="6" t="inlineStr"/>
      <c r="F420" s="6" t="inlineStr">
        <is>
          <t>IMPUTADO</t>
        </is>
      </c>
      <c r="G420" s="4" t="n">
        <v>317.66</v>
      </c>
    </row>
    <row r="421">
      <c r="A421" s="6" t="inlineStr">
        <is>
          <t>OBRA C/FORMENTERA,14 ASPE (JUANMA)</t>
        </is>
      </c>
      <c r="B421" s="6" t="inlineStr">
        <is>
          <t>526,00</t>
        </is>
      </c>
      <c r="C421" s="6" t="inlineStr">
        <is>
          <t>18/02/2026</t>
        </is>
      </c>
      <c r="D421" s="6" t="inlineStr">
        <is>
          <t>GRIFOS</t>
        </is>
      </c>
      <c r="E421" s="6" t="inlineStr">
        <is>
          <t>SALTOKI ALICANTE SL.</t>
        </is>
      </c>
      <c r="F421" s="6" t="inlineStr">
        <is>
          <t>IMPUTADO</t>
        </is>
      </c>
      <c r="G421" s="4" t="n">
        <v>300.85</v>
      </c>
    </row>
    <row r="422">
      <c r="A422" s="6" t="inlineStr">
        <is>
          <t>OBRA C/FORMENTERA,14 ASPE (JUANMA)</t>
        </is>
      </c>
      <c r="B422" s="6" t="inlineStr">
        <is>
          <t>235,00</t>
        </is>
      </c>
      <c r="C422" s="6" t="inlineStr">
        <is>
          <t>18/02/2026</t>
        </is>
      </c>
      <c r="D422" s="6" t="inlineStr">
        <is>
          <t>IMASA</t>
        </is>
      </c>
      <c r="E422" s="6" t="inlineStr"/>
      <c r="F422" s="6" t="inlineStr">
        <is>
          <t>IMPUTADO</t>
        </is>
      </c>
      <c r="G422" s="4" t="n">
        <v>300</v>
      </c>
    </row>
    <row r="423">
      <c r="A423" s="6" t="inlineStr">
        <is>
          <t>OBRA C/FORMENTERA,14 ASPE (JUANMA)</t>
        </is>
      </c>
      <c r="B423" s="6" t="inlineStr">
        <is>
          <t>172,00</t>
        </is>
      </c>
      <c r="C423" s="6" t="inlineStr">
        <is>
          <t>18/02/2026</t>
        </is>
      </c>
      <c r="D423" s="6" t="inlineStr">
        <is>
          <t>IMASA</t>
        </is>
      </c>
      <c r="E423" s="6" t="inlineStr"/>
      <c r="F423" s="6" t="inlineStr">
        <is>
          <t>IMPUTADO</t>
        </is>
      </c>
      <c r="G423" s="4" t="n">
        <v>300</v>
      </c>
    </row>
    <row r="424">
      <c r="A424" s="6" t="inlineStr">
        <is>
          <t>OBRA C/FORMENTERA,14 ASPE (JUANMA)</t>
        </is>
      </c>
      <c r="B424" s="6" t="inlineStr">
        <is>
          <t>168,00</t>
        </is>
      </c>
      <c r="C424" s="6" t="inlineStr">
        <is>
          <t>18/02/2026</t>
        </is>
      </c>
      <c r="D424" s="6" t="inlineStr">
        <is>
          <t>GRÚA</t>
        </is>
      </c>
      <c r="E424" s="6" t="inlineStr">
        <is>
          <t>GRUAS Y MAQUINARIA PETREL SL</t>
        </is>
      </c>
      <c r="F424" s="6" t="inlineStr">
        <is>
          <t>IMPUTADO</t>
        </is>
      </c>
      <c r="G424" s="4" t="n">
        <v>280</v>
      </c>
    </row>
    <row r="425">
      <c r="A425" s="6" t="inlineStr">
        <is>
          <t>OBRA C/FORMENTERA,14 ASPE (JUANMA)</t>
        </is>
      </c>
      <c r="B425" s="6" t="inlineStr">
        <is>
          <t>50,00</t>
        </is>
      </c>
      <c r="C425" s="6" t="inlineStr">
        <is>
          <t>18/02/2026</t>
        </is>
      </c>
      <c r="D425" s="6" t="inlineStr">
        <is>
          <t>TRABAJOS ELECTRICIDAD</t>
        </is>
      </c>
      <c r="E425" s="6" t="inlineStr"/>
      <c r="F425" s="6" t="inlineStr">
        <is>
          <t>IMPUTADO</t>
        </is>
      </c>
      <c r="G425" s="4" t="n">
        <v>270</v>
      </c>
    </row>
    <row r="426">
      <c r="A426" s="6" t="inlineStr">
        <is>
          <t>OBRA C/FORMENTERA,14 ASPE (JUANMA)</t>
        </is>
      </c>
      <c r="B426" s="6" t="inlineStr">
        <is>
          <t>47,00</t>
        </is>
      </c>
      <c r="C426" s="6" t="inlineStr">
        <is>
          <t>18/02/2026</t>
        </is>
      </c>
      <c r="D426" s="6" t="inlineStr">
        <is>
          <t>SERVICIO GRUA</t>
        </is>
      </c>
      <c r="E426" s="6" t="inlineStr">
        <is>
          <t>GRUAS Y MAQUINARIA PETREL SL</t>
        </is>
      </c>
      <c r="F426" s="6" t="inlineStr">
        <is>
          <t>IMPUTADO</t>
        </is>
      </c>
      <c r="G426" s="4" t="n">
        <v>245</v>
      </c>
    </row>
    <row r="427">
      <c r="A427" s="6" t="inlineStr">
        <is>
          <t>OBRA C/FORMENTERA,14 ASPE (JUANMA)</t>
        </is>
      </c>
      <c r="B427" s="6" t="inlineStr">
        <is>
          <t>466,00</t>
        </is>
      </c>
      <c r="C427" s="6" t="inlineStr">
        <is>
          <t>18/02/2026</t>
        </is>
      </c>
      <c r="D427" s="6" t="inlineStr">
        <is>
          <t>BLOQUE CERAMICO</t>
        </is>
      </c>
      <c r="E427" s="6" t="inlineStr"/>
      <c r="F427" s="6" t="inlineStr">
        <is>
          <t>IMPUTADO</t>
        </is>
      </c>
      <c r="G427" s="4" t="n">
        <v>243.69</v>
      </c>
    </row>
    <row r="428">
      <c r="A428" s="6" t="inlineStr">
        <is>
          <t>OBRA C/FORMENTERA,14 ASPE (JUANMA)</t>
        </is>
      </c>
      <c r="B428" s="6" t="inlineStr">
        <is>
          <t>189,00</t>
        </is>
      </c>
      <c r="C428" s="6" t="inlineStr">
        <is>
          <t>14/03/2025</t>
        </is>
      </c>
      <c r="D428" s="6" t="inlineStr">
        <is>
          <t>LADRILLO</t>
        </is>
      </c>
      <c r="E428" s="6" t="inlineStr"/>
      <c r="F428" s="6" t="inlineStr">
        <is>
          <t>IMPUTADO</t>
        </is>
      </c>
      <c r="G428" s="4" t="n">
        <v>231.7</v>
      </c>
    </row>
    <row r="429">
      <c r="A429" s="6" t="inlineStr">
        <is>
          <t>OBRA C/FORMENTERA,14 ASPE (JUANMA)</t>
        </is>
      </c>
      <c r="B429" s="6" t="inlineStr">
        <is>
          <t>1.109,00</t>
        </is>
      </c>
      <c r="C429" s="6" t="inlineStr">
        <is>
          <t>12/03/2026</t>
        </is>
      </c>
      <c r="D429" s="6" t="inlineStr">
        <is>
          <t>CONTENEDORES</t>
        </is>
      </c>
      <c r="E429" s="6" t="inlineStr">
        <is>
          <t>CONTENEDORES Y EXCAVACIONES ASPE SL.</t>
        </is>
      </c>
      <c r="F429" s="6" t="inlineStr">
        <is>
          <t>IMPUTADO</t>
        </is>
      </c>
      <c r="G429" s="4" t="n">
        <v>230</v>
      </c>
    </row>
    <row r="430">
      <c r="A430" s="6" t="inlineStr">
        <is>
          <t>OBRA C/FORMENTERA,14 ASPE (JUANMA)</t>
        </is>
      </c>
      <c r="B430" s="6" t="inlineStr">
        <is>
          <t>239,00</t>
        </is>
      </c>
      <c r="C430" s="6" t="inlineStr">
        <is>
          <t>18/02/2026</t>
        </is>
      </c>
      <c r="D430" s="6" t="inlineStr">
        <is>
          <t>GEOTEXTIL TERRAZA</t>
        </is>
      </c>
      <c r="E430" s="6" t="inlineStr"/>
      <c r="F430" s="6" t="inlineStr">
        <is>
          <t>IMPUTADO</t>
        </is>
      </c>
      <c r="G430" s="4" t="n">
        <v>220.87</v>
      </c>
    </row>
    <row r="431">
      <c r="A431" s="6" t="inlineStr">
        <is>
          <t>OBRA C/FORMENTERA,14 ASPE (JUANMA)</t>
        </is>
      </c>
      <c r="B431" s="6" t="inlineStr">
        <is>
          <t>253,00</t>
        </is>
      </c>
      <c r="C431" s="6" t="inlineStr">
        <is>
          <t>18/02/2026</t>
        </is>
      </c>
      <c r="D431" s="6" t="inlineStr">
        <is>
          <t>GRÚA</t>
        </is>
      </c>
      <c r="E431" s="6" t="inlineStr">
        <is>
          <t>GRUAS Y MAQUINARIA PETREL SL</t>
        </is>
      </c>
      <c r="F431" s="6" t="inlineStr">
        <is>
          <t>IMPUTADO</t>
        </is>
      </c>
      <c r="G431" s="4" t="n">
        <v>210</v>
      </c>
    </row>
    <row r="432">
      <c r="A432" s="6" t="inlineStr">
        <is>
          <t>OBRA C/FORMENTERA,14 ASPE (JUANMA)</t>
        </is>
      </c>
      <c r="B432" s="6" t="inlineStr">
        <is>
          <t>237,00</t>
        </is>
      </c>
      <c r="C432" s="6" t="inlineStr">
        <is>
          <t>18/02/2026</t>
        </is>
      </c>
      <c r="D432" s="6" t="inlineStr">
        <is>
          <t>CODO + WC ANIKA</t>
        </is>
      </c>
      <c r="E432" s="6" t="inlineStr">
        <is>
          <t>SALTOKI ALICANTE SL.</t>
        </is>
      </c>
      <c r="F432" s="6" t="inlineStr">
        <is>
          <t>IMPUTADO</t>
        </is>
      </c>
      <c r="G432" s="4" t="n">
        <v>208.05</v>
      </c>
    </row>
    <row r="433">
      <c r="A433" s="6" t="inlineStr">
        <is>
          <t>OBRA C/FORMENTERA,14 ASPE (JUANMA)</t>
        </is>
      </c>
      <c r="B433" s="6" t="inlineStr">
        <is>
          <t>505,00</t>
        </is>
      </c>
      <c r="C433" s="6" t="inlineStr">
        <is>
          <t>18/02/2026</t>
        </is>
      </c>
      <c r="D433" s="6" t="inlineStr">
        <is>
          <t>EXTRACTOR BAÑO</t>
        </is>
      </c>
      <c r="E433" s="6" t="inlineStr"/>
      <c r="F433" s="6" t="inlineStr">
        <is>
          <t>IMPUTADO</t>
        </is>
      </c>
      <c r="G433" s="4" t="n">
        <v>208</v>
      </c>
    </row>
    <row r="434">
      <c r="A434" s="6" t="inlineStr">
        <is>
          <t>OBRA C/FORMENTERA,14 ASPE (JUANMA)</t>
        </is>
      </c>
      <c r="B434" s="6" t="inlineStr">
        <is>
          <t>215,00</t>
        </is>
      </c>
      <c r="C434" s="6" t="inlineStr">
        <is>
          <t>18/02/2026</t>
        </is>
      </c>
      <c r="D434" s="6" t="inlineStr">
        <is>
          <t>RANA TENSOR</t>
        </is>
      </c>
      <c r="E434" s="6" t="inlineStr"/>
      <c r="F434" s="6" t="inlineStr">
        <is>
          <t>IMPUTADO</t>
        </is>
      </c>
      <c r="G434" s="4" t="n">
        <v>205.7</v>
      </c>
    </row>
    <row r="435">
      <c r="A435" s="6" t="inlineStr">
        <is>
          <t>OBRA C/FORMENTERA,14 ASPE (JUANMA)</t>
        </is>
      </c>
      <c r="B435" s="6" t="inlineStr">
        <is>
          <t>525,00</t>
        </is>
      </c>
      <c r="C435" s="6" t="inlineStr">
        <is>
          <t>18/02/2026</t>
        </is>
      </c>
      <c r="D435" s="6" t="inlineStr">
        <is>
          <t>CHIMENEAS HORMIGON</t>
        </is>
      </c>
      <c r="E435" s="6" t="inlineStr"/>
      <c r="F435" s="6" t="inlineStr">
        <is>
          <t>IMPUTADO</t>
        </is>
      </c>
      <c r="G435" s="4" t="n">
        <v>203.28</v>
      </c>
    </row>
    <row r="436">
      <c r="A436" s="6" t="inlineStr">
        <is>
          <t>OBRA C/FORMENTERA,14 ASPE (JUANMA)</t>
        </is>
      </c>
      <c r="B436" s="6" t="inlineStr">
        <is>
          <t>22,00</t>
        </is>
      </c>
      <c r="C436" s="6" t="inlineStr">
        <is>
          <t>18/02/2026</t>
        </is>
      </c>
      <c r="D436" s="6" t="inlineStr">
        <is>
          <t>SERVICIOS VARIOS</t>
        </is>
      </c>
      <c r="E436" s="6" t="inlineStr"/>
      <c r="F436" s="6" t="inlineStr">
        <is>
          <t>IMPUTADO</t>
        </is>
      </c>
      <c r="G436" s="4" t="n">
        <v>200</v>
      </c>
    </row>
    <row r="437">
      <c r="A437" s="6" t="inlineStr">
        <is>
          <t>OBRA C/FORMENTERA,14 ASPE (JUANMA)</t>
        </is>
      </c>
      <c r="B437" s="6" t="inlineStr">
        <is>
          <t>321,00</t>
        </is>
      </c>
      <c r="C437" s="6" t="inlineStr">
        <is>
          <t>18/02/2026</t>
        </is>
      </c>
      <c r="D437" s="6" t="inlineStr">
        <is>
          <t>MATERIAL</t>
        </is>
      </c>
      <c r="E437" s="6" t="inlineStr">
        <is>
          <t>SALTOKI ALICANTE SL.</t>
        </is>
      </c>
      <c r="F437" s="6" t="inlineStr">
        <is>
          <t>IMPUTADO</t>
        </is>
      </c>
      <c r="G437" s="4" t="n">
        <v>190.26</v>
      </c>
    </row>
    <row r="438">
      <c r="A438" s="6" t="inlineStr">
        <is>
          <t>OBRA C/FORMENTERA,14 ASPE (JUANMA)</t>
        </is>
      </c>
      <c r="B438" s="6" t="inlineStr">
        <is>
          <t>450,00</t>
        </is>
      </c>
      <c r="C438" s="6" t="inlineStr">
        <is>
          <t>18/02/2026</t>
        </is>
      </c>
      <c r="D438" s="6" t="inlineStr">
        <is>
          <t>SACA GRAVIN</t>
        </is>
      </c>
      <c r="E438" s="6" t="inlineStr"/>
      <c r="F438" s="6" t="inlineStr">
        <is>
          <t>IMPUTADO</t>
        </is>
      </c>
      <c r="G438" s="4" t="n">
        <v>182</v>
      </c>
    </row>
    <row r="439">
      <c r="A439" s="6" t="inlineStr">
        <is>
          <t>OBRA C/FORMENTERA,14 ASPE (JUANMA)</t>
        </is>
      </c>
      <c r="B439" s="6" t="inlineStr">
        <is>
          <t>417,00</t>
        </is>
      </c>
      <c r="C439" s="6" t="inlineStr">
        <is>
          <t>18/02/2026</t>
        </is>
      </c>
      <c r="D439" s="6" t="inlineStr">
        <is>
          <t>MORCEM ESTUCO</t>
        </is>
      </c>
      <c r="E439" s="6" t="inlineStr"/>
      <c r="F439" s="6" t="inlineStr">
        <is>
          <t>IMPUTADO</t>
        </is>
      </c>
      <c r="G439" s="4" t="n">
        <v>181.78</v>
      </c>
    </row>
    <row r="440">
      <c r="A440" s="6" t="inlineStr">
        <is>
          <t>OBRA C/FORMENTERA,14 ASPE (JUANMA)</t>
        </is>
      </c>
      <c r="B440" s="6" t="inlineStr">
        <is>
          <t>332,00</t>
        </is>
      </c>
      <c r="C440" s="6" t="inlineStr">
        <is>
          <t>18/02/2026</t>
        </is>
      </c>
      <c r="D440" s="6" t="inlineStr">
        <is>
          <t>REGISTRO</t>
        </is>
      </c>
      <c r="E440" s="6" t="inlineStr"/>
      <c r="F440" s="6" t="inlineStr">
        <is>
          <t>IMPUTADO</t>
        </is>
      </c>
      <c r="G440" s="4" t="n">
        <v>180.55</v>
      </c>
    </row>
    <row r="441">
      <c r="A441" s="6" t="inlineStr">
        <is>
          <t>OBRA C/FORMENTERA,14 ASPE (JUANMA)</t>
        </is>
      </c>
      <c r="B441" s="6" t="inlineStr">
        <is>
          <t>262,00</t>
        </is>
      </c>
      <c r="C441" s="6" t="inlineStr">
        <is>
          <t>18/02/2026</t>
        </is>
      </c>
      <c r="D441" s="6" t="inlineStr">
        <is>
          <t>BLOQUE HORMIGÓN</t>
        </is>
      </c>
      <c r="E441" s="6" t="inlineStr"/>
      <c r="F441" s="6" t="inlineStr">
        <is>
          <t>IMPUTADO</t>
        </is>
      </c>
      <c r="G441" s="4" t="n">
        <v>166.26</v>
      </c>
    </row>
    <row r="442">
      <c r="A442" s="6" t="inlineStr">
        <is>
          <t>OBRA C/FORMENTERA,14 ASPE (JUANMA)</t>
        </is>
      </c>
      <c r="B442" s="6" t="inlineStr">
        <is>
          <t>520,00</t>
        </is>
      </c>
      <c r="C442" s="6" t="inlineStr">
        <is>
          <t>18/02/2026</t>
        </is>
      </c>
      <c r="D442" s="6" t="inlineStr">
        <is>
          <t>PUERTAS DE PASO</t>
        </is>
      </c>
      <c r="E442" s="6" t="inlineStr">
        <is>
          <t>CARPINTERIA EBANISTERIA BAMBU SL.</t>
        </is>
      </c>
      <c r="F442" s="6" t="inlineStr">
        <is>
          <t>IMPUTADO</t>
        </is>
      </c>
      <c r="G442" s="4" t="n">
        <v>157.64</v>
      </c>
    </row>
    <row r="443">
      <c r="A443" s="6" t="inlineStr">
        <is>
          <t>OBRA C/FORMENTERA,14 ASPE (JUANMA)</t>
        </is>
      </c>
      <c r="B443" s="6" t="inlineStr">
        <is>
          <t>105,00</t>
        </is>
      </c>
      <c r="C443" s="6" t="inlineStr">
        <is>
          <t>18/02/2026</t>
        </is>
      </c>
      <c r="D443" s="6" t="inlineStr">
        <is>
          <t>REDEACCIÓN PLAN SEGURIDAD Y SALUD</t>
        </is>
      </c>
      <c r="E443" s="6" t="inlineStr"/>
      <c r="F443" s="6" t="inlineStr">
        <is>
          <t>IMPUTADO</t>
        </is>
      </c>
      <c r="G443" s="4" t="n">
        <v>150</v>
      </c>
    </row>
    <row r="444">
      <c r="A444" s="6" t="inlineStr">
        <is>
          <t>OBRA C/FORMENTERA,14 ASPE (JUANMA)</t>
        </is>
      </c>
      <c r="B444" s="6" t="inlineStr">
        <is>
          <t>1.211,00</t>
        </is>
      </c>
      <c r="C444" s="6" t="inlineStr">
        <is>
          <t>03/04/2026</t>
        </is>
      </c>
      <c r="D444" s="6" t="inlineStr">
        <is>
          <t>RODAPIE EXTERIOR #monocapa exterior</t>
        </is>
      </c>
      <c r="E444" s="6" t="inlineStr">
        <is>
          <t>MARMOLES FEROSA SL.</t>
        </is>
      </c>
      <c r="F444" s="6" t="inlineStr">
        <is>
          <t>IMPUTADO</t>
        </is>
      </c>
      <c r="G444" s="4" t="n">
        <v>143.28</v>
      </c>
    </row>
    <row r="445">
      <c r="A445" s="6" t="inlineStr">
        <is>
          <t>OBRA C/FORMENTERA,14 ASPE (JUANMA)</t>
        </is>
      </c>
      <c r="B445" s="6" t="inlineStr">
        <is>
          <t>278,00</t>
        </is>
      </c>
      <c r="C445" s="6" t="inlineStr">
        <is>
          <t>18/02/2026</t>
        </is>
      </c>
      <c r="D445" s="6" t="inlineStr">
        <is>
          <t>GRUAS</t>
        </is>
      </c>
      <c r="E445" s="6" t="inlineStr">
        <is>
          <t>GRUAS Y MAQUINARIA PETREL SL</t>
        </is>
      </c>
      <c r="F445" s="6" t="inlineStr">
        <is>
          <t>IMPUTADO</t>
        </is>
      </c>
      <c r="G445" s="4" t="n">
        <v>140</v>
      </c>
    </row>
    <row r="446">
      <c r="A446" s="6" t="inlineStr">
        <is>
          <t>OBRA C/FORMENTERA,14 ASPE (JUANMA)</t>
        </is>
      </c>
      <c r="B446" s="6" t="inlineStr">
        <is>
          <t>249,00</t>
        </is>
      </c>
      <c r="C446" s="6" t="inlineStr">
        <is>
          <t>18/02/2026</t>
        </is>
      </c>
      <c r="D446" s="6" t="inlineStr">
        <is>
          <t>REPISAS</t>
        </is>
      </c>
      <c r="E446" s="6" t="inlineStr"/>
      <c r="F446" s="6" t="inlineStr">
        <is>
          <t>IMPUTADO</t>
        </is>
      </c>
      <c r="G446" s="4" t="n">
        <v>129.39</v>
      </c>
    </row>
    <row r="447">
      <c r="A447" s="6" t="inlineStr">
        <is>
          <t>OBRA C/FORMENTERA,14 ASPE (JUANMA)</t>
        </is>
      </c>
      <c r="B447" s="6" t="inlineStr">
        <is>
          <t>203,00</t>
        </is>
      </c>
      <c r="C447" s="6" t="inlineStr">
        <is>
          <t>14/03/2025</t>
        </is>
      </c>
      <c r="D447" s="6" t="inlineStr">
        <is>
          <t>ALSINA ALQUILER</t>
        </is>
      </c>
      <c r="E447" s="6" t="inlineStr"/>
      <c r="F447" s="6" t="inlineStr">
        <is>
          <t>IMPUTADO</t>
        </is>
      </c>
      <c r="G447" s="4" t="n">
        <v>129.35</v>
      </c>
    </row>
    <row r="448">
      <c r="A448" s="6" t="inlineStr">
        <is>
          <t>OBRA C/FORMENTERA,14 ASPE (JUANMA)</t>
        </is>
      </c>
      <c r="B448" s="6" t="inlineStr">
        <is>
          <t>214,00</t>
        </is>
      </c>
      <c r="C448" s="6" t="inlineStr">
        <is>
          <t>18/02/2026</t>
        </is>
      </c>
      <c r="D448" s="6" t="inlineStr">
        <is>
          <t>LÁMINA</t>
        </is>
      </c>
      <c r="E448" s="6" t="inlineStr"/>
      <c r="F448" s="6" t="inlineStr">
        <is>
          <t>IMPUTADO</t>
        </is>
      </c>
      <c r="G448" s="4" t="n">
        <v>129.27</v>
      </c>
    </row>
    <row r="449">
      <c r="A449" s="6" t="inlineStr">
        <is>
          <t>OBRA C/FORMENTERA,14 ASPE (JUANMA)</t>
        </is>
      </c>
      <c r="B449" s="6" t="inlineStr">
        <is>
          <t>89,00</t>
        </is>
      </c>
      <c r="C449" s="6" t="inlineStr">
        <is>
          <t>18/02/2026</t>
        </is>
      </c>
      <c r="D449" s="6" t="inlineStr">
        <is>
          <t>REPARACIÓN MAQUINARIA</t>
        </is>
      </c>
      <c r="E449" s="6" t="inlineStr"/>
      <c r="F449" s="6" t="inlineStr">
        <is>
          <t>IMPUTADO</t>
        </is>
      </c>
      <c r="G449" s="4" t="n">
        <v>120</v>
      </c>
    </row>
    <row r="450">
      <c r="A450" s="6" t="inlineStr">
        <is>
          <t>OBRA C/FORMENTERA,14 ASPE (JUANMA)</t>
        </is>
      </c>
      <c r="B450" s="6" t="inlineStr">
        <is>
          <t>856,00</t>
        </is>
      </c>
      <c r="C450" s="6" t="inlineStr">
        <is>
          <t>24/02/2026</t>
        </is>
      </c>
      <c r="D450" s="6" t="inlineStr">
        <is>
          <t>MALLAZO IMPRESO</t>
        </is>
      </c>
      <c r="E450" s="6" t="inlineStr">
        <is>
          <t>FERRALLAS MONFORTE DEL CID SL.</t>
        </is>
      </c>
      <c r="F450" s="6" t="inlineStr">
        <is>
          <t>IMPUTADO</t>
        </is>
      </c>
      <c r="G450" s="4" t="n">
        <v>118.8</v>
      </c>
    </row>
    <row r="451">
      <c r="A451" s="6" t="inlineStr">
        <is>
          <t>OBRA C/FORMENTERA,14 ASPE (JUANMA)</t>
        </is>
      </c>
      <c r="B451" s="6" t="inlineStr">
        <is>
          <t>221,00</t>
        </is>
      </c>
      <c r="C451" s="6" t="inlineStr">
        <is>
          <t>18/02/2026</t>
        </is>
      </c>
      <c r="D451" s="6" t="inlineStr">
        <is>
          <t>MATERIAL</t>
        </is>
      </c>
      <c r="E451" s="6" t="inlineStr"/>
      <c r="F451" s="6" t="inlineStr">
        <is>
          <t>IMPUTADO</t>
        </is>
      </c>
      <c r="G451" s="4" t="n">
        <v>115.85</v>
      </c>
    </row>
    <row r="452">
      <c r="A452" s="6" t="inlineStr">
        <is>
          <t>OBRA C/FORMENTERA,14 ASPE (JUANMA)</t>
        </is>
      </c>
      <c r="B452" s="6" t="inlineStr">
        <is>
          <t>477,00</t>
        </is>
      </c>
      <c r="C452" s="6" t="inlineStr">
        <is>
          <t>18/02/2026</t>
        </is>
      </c>
      <c r="D452" s="6" t="inlineStr">
        <is>
          <t>PISO PORCELANICO</t>
        </is>
      </c>
      <c r="E452" s="6" t="inlineStr">
        <is>
          <t>EDI CHRISTIAN PALACIOS</t>
        </is>
      </c>
      <c r="F452" s="6" t="inlineStr">
        <is>
          <t>IMPUTADO</t>
        </is>
      </c>
      <c r="G452" s="4" t="n">
        <v>111.15</v>
      </c>
    </row>
    <row r="453">
      <c r="A453" s="6" t="inlineStr">
        <is>
          <t>OBRA C/FORMENTERA,14 ASPE (JUANMA)</t>
        </is>
      </c>
      <c r="B453" s="6" t="inlineStr">
        <is>
          <t>174,00</t>
        </is>
      </c>
      <c r="C453" s="6" t="inlineStr">
        <is>
          <t>18/02/2026</t>
        </is>
      </c>
      <c r="D453" s="6" t="inlineStr">
        <is>
          <t>GRÚAS</t>
        </is>
      </c>
      <c r="E453" s="6" t="inlineStr">
        <is>
          <t>GRUAS Y MAQUINARIA PETREL SL</t>
        </is>
      </c>
      <c r="F453" s="6" t="inlineStr">
        <is>
          <t>IMPUTADO</t>
        </is>
      </c>
      <c r="G453" s="4" t="n">
        <v>105</v>
      </c>
    </row>
    <row r="454">
      <c r="A454" s="6" t="inlineStr">
        <is>
          <t>OBRA C/FORMENTERA,14 ASPE (JUANMA)</t>
        </is>
      </c>
      <c r="B454" s="6" t="inlineStr">
        <is>
          <t>266,00</t>
        </is>
      </c>
      <c r="C454" s="6" t="inlineStr">
        <is>
          <t>18/02/2026</t>
        </is>
      </c>
      <c r="D454" s="6" t="inlineStr">
        <is>
          <t>NANOFLEX IMPERBEALIBIZANTE</t>
        </is>
      </c>
      <c r="E454" s="6" t="inlineStr">
        <is>
          <t>CAFA CERÁMICA Y BAÑO</t>
        </is>
      </c>
      <c r="F454" s="6" t="inlineStr">
        <is>
          <t>IMPUTADO</t>
        </is>
      </c>
      <c r="G454" s="4" t="n">
        <v>102.2</v>
      </c>
    </row>
    <row r="455">
      <c r="A455" s="6" t="inlineStr">
        <is>
          <t>OBRA C/FORMENTERA,14 ASPE (JUANMA)</t>
        </is>
      </c>
      <c r="B455" s="6" t="inlineStr">
        <is>
          <t>244,00</t>
        </is>
      </c>
      <c r="C455" s="6" t="inlineStr">
        <is>
          <t>18/02/2026</t>
        </is>
      </c>
      <c r="D455" s="6" t="inlineStr">
        <is>
          <t>COLA PORCELÁNICA</t>
        </is>
      </c>
      <c r="E455" s="6" t="inlineStr"/>
      <c r="F455" s="6" t="inlineStr">
        <is>
          <t>IMPUTADO</t>
        </is>
      </c>
      <c r="G455" s="4" t="n">
        <v>94.12</v>
      </c>
    </row>
    <row r="456">
      <c r="A456" s="6" t="inlineStr">
        <is>
          <t>OBRA C/FORMENTERA,14 ASPE (JUANMA)</t>
        </is>
      </c>
      <c r="B456" s="6" t="inlineStr">
        <is>
          <t>181,00</t>
        </is>
      </c>
      <c r="C456" s="6" t="inlineStr">
        <is>
          <t>18/02/2026</t>
        </is>
      </c>
      <c r="D456" s="6" t="inlineStr">
        <is>
          <t>CEMENTO COLA</t>
        </is>
      </c>
      <c r="E456" s="6" t="inlineStr"/>
      <c r="F456" s="6" t="inlineStr">
        <is>
          <t>IMPUTADO</t>
        </is>
      </c>
      <c r="G456" s="4" t="n">
        <v>94.12</v>
      </c>
    </row>
    <row r="457">
      <c r="A457" s="6" t="inlineStr">
        <is>
          <t>OBRA C/FORMENTERA,14 ASPE (JUANMA)</t>
        </is>
      </c>
      <c r="B457" s="6" t="inlineStr">
        <is>
          <t>528,00</t>
        </is>
      </c>
      <c r="C457" s="6" t="inlineStr">
        <is>
          <t>18/02/2026</t>
        </is>
      </c>
      <c r="D457" s="6" t="inlineStr">
        <is>
          <t>GRIFERIA</t>
        </is>
      </c>
      <c r="E457" s="6" t="inlineStr">
        <is>
          <t>SALTOKI ALICANTE SL.</t>
        </is>
      </c>
      <c r="F457" s="6" t="inlineStr">
        <is>
          <t>IMPUTADO</t>
        </is>
      </c>
      <c r="G457" s="4" t="n">
        <v>92.40000000000001</v>
      </c>
    </row>
    <row r="458">
      <c r="A458" s="6" t="inlineStr">
        <is>
          <t>OBRA C/FORMENTERA,14 ASPE (JUANMA)</t>
        </is>
      </c>
      <c r="B458" s="6" t="inlineStr">
        <is>
          <t>77,00</t>
        </is>
      </c>
      <c r="C458" s="6" t="inlineStr">
        <is>
          <t>18/02/2026</t>
        </is>
      </c>
      <c r="D458" s="6" t="inlineStr">
        <is>
          <t>SEPARADORES SIKA</t>
        </is>
      </c>
      <c r="E458" s="6" t="inlineStr"/>
      <c r="F458" s="6" t="inlineStr">
        <is>
          <t>IMPUTADO</t>
        </is>
      </c>
      <c r="G458" s="4" t="n">
        <v>91.54000000000001</v>
      </c>
    </row>
    <row r="459">
      <c r="A459" s="6" t="inlineStr">
        <is>
          <t>OBRA C/FORMENTERA,14 ASPE (JUANMA)</t>
        </is>
      </c>
      <c r="B459" s="6" t="inlineStr">
        <is>
          <t>178,00</t>
        </is>
      </c>
      <c r="C459" s="6" t="inlineStr">
        <is>
          <t>18/02/2026</t>
        </is>
      </c>
      <c r="D459" s="6" t="inlineStr">
        <is>
          <t>CALDERETAS</t>
        </is>
      </c>
      <c r="E459" s="6" t="inlineStr"/>
      <c r="F459" s="6" t="inlineStr">
        <is>
          <t>IMPUTADO</t>
        </is>
      </c>
      <c r="G459" s="4" t="n">
        <v>84.53</v>
      </c>
    </row>
    <row r="460">
      <c r="A460" s="6" t="inlineStr">
        <is>
          <t>OBRA C/FORMENTERA,14 ASPE (JUANMA)</t>
        </is>
      </c>
      <c r="B460" s="6" t="inlineStr">
        <is>
          <t>618,00</t>
        </is>
      </c>
      <c r="C460" s="6" t="inlineStr">
        <is>
          <t>18/02/2026</t>
        </is>
      </c>
      <c r="D460" s="6" t="inlineStr">
        <is>
          <t>MATERIAL VARIO</t>
        </is>
      </c>
      <c r="E460" s="6" t="inlineStr">
        <is>
          <t>CONSYDECOR SL</t>
        </is>
      </c>
      <c r="F460" s="6" t="inlineStr">
        <is>
          <t>IMPUTADO</t>
        </is>
      </c>
      <c r="G460" s="4" t="n">
        <v>84.31999999999999</v>
      </c>
    </row>
    <row r="461">
      <c r="A461" s="6" t="inlineStr">
        <is>
          <t>OBRA C/FORMENTERA,14 ASPE (JUANMA)</t>
        </is>
      </c>
      <c r="B461" s="6" t="inlineStr">
        <is>
          <t>110,00</t>
        </is>
      </c>
      <c r="C461" s="6" t="inlineStr">
        <is>
          <t>18/02/2026</t>
        </is>
      </c>
      <c r="D461" s="6" t="inlineStr">
        <is>
          <t>ALQUILER PISÓN</t>
        </is>
      </c>
      <c r="E461" s="6" t="inlineStr"/>
      <c r="F461" s="6" t="inlineStr">
        <is>
          <t>IMPUTADO</t>
        </is>
      </c>
      <c r="G461" s="4" t="n">
        <v>81.48999999999999</v>
      </c>
    </row>
    <row r="462">
      <c r="A462" s="6" t="inlineStr">
        <is>
          <t>OBRA C/FORMENTERA,14 ASPE (JUANMA)</t>
        </is>
      </c>
      <c r="B462" s="6" t="inlineStr">
        <is>
          <t>243,00</t>
        </is>
      </c>
      <c r="C462" s="6" t="inlineStr">
        <is>
          <t>18/02/2026</t>
        </is>
      </c>
      <c r="D462" s="6" t="inlineStr">
        <is>
          <t>MATERIAL</t>
        </is>
      </c>
      <c r="E462" s="6" t="inlineStr"/>
      <c r="F462" s="6" t="inlineStr">
        <is>
          <t>IMPUTADO</t>
        </is>
      </c>
      <c r="G462" s="4" t="n">
        <v>76.26000000000001</v>
      </c>
    </row>
    <row r="463">
      <c r="A463" s="6" t="inlineStr">
        <is>
          <t>OBRA C/FORMENTERA,14 ASPE (JUANMA)</t>
        </is>
      </c>
      <c r="B463" s="6" t="inlineStr">
        <is>
          <t>524,00</t>
        </is>
      </c>
      <c r="C463" s="6" t="inlineStr">
        <is>
          <t>18/02/2026</t>
        </is>
      </c>
      <c r="D463" s="6" t="inlineStr">
        <is>
          <t>MATERIAL OBRA</t>
        </is>
      </c>
      <c r="E463" s="6" t="inlineStr"/>
      <c r="F463" s="6" t="inlineStr">
        <is>
          <t>IMPUTADO</t>
        </is>
      </c>
      <c r="G463" s="4" t="n">
        <v>75.56999999999999</v>
      </c>
    </row>
    <row r="464">
      <c r="A464" s="6" t="inlineStr">
        <is>
          <t>OBRA C/FORMENTERA,14 ASPE (JUANMA)</t>
        </is>
      </c>
      <c r="B464" s="6" t="inlineStr">
        <is>
          <t>1.215,00</t>
        </is>
      </c>
      <c r="C464" s="6" t="inlineStr">
        <is>
          <t>03/04/2026</t>
        </is>
      </c>
      <c r="D464" s="6" t="inlineStr">
        <is>
          <t>VARIOS JARDIN</t>
        </is>
      </c>
      <c r="E464" s="6" t="inlineStr">
        <is>
          <t>MARIA DOLORES ALDEGUER CANO</t>
        </is>
      </c>
      <c r="F464" s="6" t="inlineStr">
        <is>
          <t>IMPUTADO</t>
        </is>
      </c>
      <c r="G464" s="4" t="n">
        <v>74.7</v>
      </c>
    </row>
    <row r="465">
      <c r="A465" s="6" t="inlineStr">
        <is>
          <t>OBRA C/FORMENTERA,14 ASPE (JUANMA)</t>
        </is>
      </c>
      <c r="B465" s="6" t="inlineStr">
        <is>
          <t>188,00</t>
        </is>
      </c>
      <c r="C465" s="6" t="inlineStr">
        <is>
          <t>18/02/2026</t>
        </is>
      </c>
      <c r="D465" s="6" t="inlineStr">
        <is>
          <t>ORACIO FERRALLA</t>
        </is>
      </c>
      <c r="E465" s="6" t="inlineStr"/>
      <c r="F465" s="6" t="inlineStr">
        <is>
          <t>IMPUTADO</t>
        </is>
      </c>
      <c r="G465" s="4" t="n">
        <v>71.78</v>
      </c>
    </row>
    <row r="466">
      <c r="A466" s="6" t="inlineStr">
        <is>
          <t>OBRA C/FORMENTERA,14 ASPE (JUANMA)</t>
        </is>
      </c>
      <c r="B466" s="6" t="inlineStr">
        <is>
          <t>222,00</t>
        </is>
      </c>
      <c r="C466" s="6" t="inlineStr">
        <is>
          <t>18/02/2026</t>
        </is>
      </c>
      <c r="D466" s="6" t="inlineStr">
        <is>
          <t>RESINA</t>
        </is>
      </c>
      <c r="E466" s="6" t="inlineStr"/>
      <c r="F466" s="6" t="inlineStr">
        <is>
          <t>IMPUTADO</t>
        </is>
      </c>
      <c r="G466" s="4" t="n">
        <v>70.62</v>
      </c>
    </row>
    <row r="467">
      <c r="A467" s="6" t="inlineStr">
        <is>
          <t>OBRA C/FORMENTERA,14 ASPE (JUANMA)</t>
        </is>
      </c>
      <c r="B467" s="6" t="inlineStr">
        <is>
          <t>201,00</t>
        </is>
      </c>
      <c r="C467" s="6" t="inlineStr">
        <is>
          <t>14/03/2025</t>
        </is>
      </c>
      <c r="D467" s="6" t="inlineStr">
        <is>
          <t>MATERIAL</t>
        </is>
      </c>
      <c r="E467" s="6" t="inlineStr"/>
      <c r="F467" s="6" t="inlineStr">
        <is>
          <t>IMPUTADO</t>
        </is>
      </c>
      <c r="G467" s="4" t="n">
        <v>64.20999999999999</v>
      </c>
    </row>
    <row r="468">
      <c r="A468" s="6" t="inlineStr">
        <is>
          <t>OBRA C/FORMENTERA,14 ASPE (JUANMA)</t>
        </is>
      </c>
      <c r="B468" s="6" t="inlineStr">
        <is>
          <t>48,00</t>
        </is>
      </c>
      <c r="C468" s="6" t="inlineStr">
        <is>
          <t>18/02/2026</t>
        </is>
      </c>
      <c r="D468" s="6" t="inlineStr">
        <is>
          <t>MATERIALES VARIOS</t>
        </is>
      </c>
      <c r="E468" s="6" t="inlineStr"/>
      <c r="F468" s="6" t="inlineStr">
        <is>
          <t>IMPUTADO</t>
        </is>
      </c>
      <c r="G468" s="4" t="n">
        <v>63</v>
      </c>
    </row>
    <row r="469">
      <c r="A469" s="6" t="inlineStr">
        <is>
          <t>OBRA C/FORMENTERA,14 ASPE (JUANMA)</t>
        </is>
      </c>
      <c r="B469" s="6" t="inlineStr">
        <is>
          <t>605,00</t>
        </is>
      </c>
      <c r="C469" s="6" t="inlineStr">
        <is>
          <t>18/02/2026</t>
        </is>
      </c>
      <c r="D469" s="6" t="inlineStr">
        <is>
          <t>ARQUETA</t>
        </is>
      </c>
      <c r="E469" s="6" t="inlineStr">
        <is>
          <t>SANIPLAST SOLUCIONES SOSTENIBLES DEL AGUA SL</t>
        </is>
      </c>
      <c r="F469" s="6" t="inlineStr">
        <is>
          <t>IMPUTADO</t>
        </is>
      </c>
      <c r="G469" s="4" t="n">
        <v>60.71</v>
      </c>
    </row>
    <row r="470">
      <c r="A470" s="6" t="inlineStr">
        <is>
          <t>OBRA C/FORMENTERA,14 ASPE (JUANMA)</t>
        </is>
      </c>
      <c r="B470" s="6" t="inlineStr">
        <is>
          <t>170,00</t>
        </is>
      </c>
      <c r="C470" s="6" t="inlineStr">
        <is>
          <t>18/02/2026</t>
        </is>
      </c>
      <c r="D470" s="6" t="inlineStr">
        <is>
          <t>MATERIAL</t>
        </is>
      </c>
      <c r="E470" s="6" t="inlineStr"/>
      <c r="F470" s="6" t="inlineStr">
        <is>
          <t>IMPUTADO</t>
        </is>
      </c>
      <c r="G470" s="4" t="n">
        <v>59.49</v>
      </c>
    </row>
    <row r="471">
      <c r="A471" s="6" t="inlineStr">
        <is>
          <t>OBRA C/FORMENTERA,14 ASPE (JUANMA)</t>
        </is>
      </c>
      <c r="B471" s="6" t="inlineStr">
        <is>
          <t>254,00</t>
        </is>
      </c>
      <c r="C471" s="6" t="inlineStr">
        <is>
          <t>18/02/2026</t>
        </is>
      </c>
      <c r="D471" s="6" t="inlineStr">
        <is>
          <t>TUBO PVC</t>
        </is>
      </c>
      <c r="E471" s="6" t="inlineStr">
        <is>
          <t>SALTOKI ALICANTE SL.</t>
        </is>
      </c>
      <c r="F471" s="6" t="inlineStr">
        <is>
          <t>IMPUTADO</t>
        </is>
      </c>
      <c r="G471" s="4" t="n">
        <v>55.95</v>
      </c>
    </row>
    <row r="472">
      <c r="A472" s="6" t="inlineStr">
        <is>
          <t>OBRA C/FORMENTERA,14 ASPE (JUANMA)</t>
        </is>
      </c>
      <c r="B472" s="6" t="inlineStr">
        <is>
          <t>132,00</t>
        </is>
      </c>
      <c r="C472" s="6" t="inlineStr">
        <is>
          <t>18/02/2026</t>
        </is>
      </c>
      <c r="D472" s="6" t="inlineStr">
        <is>
          <t>MATERIAL OBRA</t>
        </is>
      </c>
      <c r="E472" s="6" t="inlineStr"/>
      <c r="F472" s="6" t="inlineStr">
        <is>
          <t>IMPUTADO</t>
        </is>
      </c>
      <c r="G472" s="4" t="n">
        <v>55.31</v>
      </c>
    </row>
    <row r="473">
      <c r="A473" s="6" t="inlineStr">
        <is>
          <t>OBRA C/FORMENTERA,14 ASPE (JUANMA)</t>
        </is>
      </c>
      <c r="B473" s="6" t="inlineStr">
        <is>
          <t>193,00</t>
        </is>
      </c>
      <c r="C473" s="6" t="inlineStr">
        <is>
          <t>14/03/2025</t>
        </is>
      </c>
      <c r="D473" s="6" t="inlineStr">
        <is>
          <t>GRÚA</t>
        </is>
      </c>
      <c r="E473" s="6" t="inlineStr"/>
      <c r="F473" s="6" t="inlineStr">
        <is>
          <t>IMPUTADO</t>
        </is>
      </c>
      <c r="G473" s="4" t="n">
        <v>50</v>
      </c>
    </row>
    <row r="474">
      <c r="A474" s="6" t="inlineStr">
        <is>
          <t>OBRA C/FORMENTERA,14 ASPE (JUANMA)</t>
        </is>
      </c>
      <c r="B474" s="6" t="inlineStr">
        <is>
          <t>160,00</t>
        </is>
      </c>
      <c r="C474" s="6" t="inlineStr">
        <is>
          <t>18/02/2026</t>
        </is>
      </c>
      <c r="D474" s="6" t="inlineStr">
        <is>
          <t>GRÚA</t>
        </is>
      </c>
      <c r="E474" s="6" t="inlineStr"/>
      <c r="F474" s="6" t="inlineStr">
        <is>
          <t>IMPUTADO</t>
        </is>
      </c>
      <c r="G474" s="4" t="n">
        <v>50</v>
      </c>
    </row>
    <row r="475">
      <c r="A475" s="6" t="inlineStr">
        <is>
          <t>OBRA C/FORMENTERA,14 ASPE (JUANMA)</t>
        </is>
      </c>
      <c r="B475" s="6" t="inlineStr">
        <is>
          <t>121,00</t>
        </is>
      </c>
      <c r="C475" s="6" t="inlineStr">
        <is>
          <t>18/02/2026</t>
        </is>
      </c>
      <c r="D475" s="6" t="inlineStr">
        <is>
          <t>HORAS GRUA</t>
        </is>
      </c>
      <c r="E475" s="6" t="inlineStr"/>
      <c r="F475" s="6" t="inlineStr">
        <is>
          <t>IMPUTADO</t>
        </is>
      </c>
      <c r="G475" s="4" t="n">
        <v>50</v>
      </c>
    </row>
    <row r="476">
      <c r="A476" s="6" t="inlineStr">
        <is>
          <t>OBRA C/FORMENTERA,14 ASPE (JUANMA)</t>
        </is>
      </c>
      <c r="B476" s="6" t="inlineStr">
        <is>
          <t>93,00</t>
        </is>
      </c>
      <c r="C476" s="6" t="inlineStr">
        <is>
          <t>30/01/2025</t>
        </is>
      </c>
      <c r="D476" s="6" t="inlineStr">
        <is>
          <t>SEPARADORES HORMIGÓN</t>
        </is>
      </c>
      <c r="E476" s="6" t="inlineStr"/>
      <c r="F476" s="6" t="inlineStr">
        <is>
          <t>IMPUTADO</t>
        </is>
      </c>
      <c r="G476" s="4" t="n">
        <v>48.31</v>
      </c>
    </row>
    <row r="477">
      <c r="A477" s="6" t="inlineStr">
        <is>
          <t>OBRA C/FORMENTERA,14 ASPE (JUANMA)</t>
        </is>
      </c>
      <c r="B477" s="6" t="inlineStr">
        <is>
          <t>389,00</t>
        </is>
      </c>
      <c r="C477" s="6" t="inlineStr">
        <is>
          <t>18/02/2026</t>
        </is>
      </c>
      <c r="D477" s="6" t="inlineStr">
        <is>
          <t>CANTONERA SATE FASSA</t>
        </is>
      </c>
      <c r="E477" s="6" t="inlineStr"/>
      <c r="F477" s="6" t="inlineStr">
        <is>
          <t>IMPUTADO</t>
        </is>
      </c>
      <c r="G477" s="4" t="n">
        <v>44.21</v>
      </c>
    </row>
    <row r="478">
      <c r="A478" s="6" t="inlineStr">
        <is>
          <t>OBRA C/FORMENTERA,14 ASPE (JUANMA)</t>
        </is>
      </c>
      <c r="B478" s="6" t="inlineStr">
        <is>
          <t>439,00</t>
        </is>
      </c>
      <c r="C478" s="6" t="inlineStr">
        <is>
          <t>18/02/2026</t>
        </is>
      </c>
      <c r="D478" s="6" t="inlineStr">
        <is>
          <t>YESO TERMINACION</t>
        </is>
      </c>
      <c r="E478" s="6" t="inlineStr"/>
      <c r="F478" s="6" t="inlineStr">
        <is>
          <t>IMPUTADO</t>
        </is>
      </c>
      <c r="G478" s="4" t="n">
        <v>41.58</v>
      </c>
    </row>
    <row r="479">
      <c r="A479" s="6" t="inlineStr">
        <is>
          <t>OBRA C/FORMENTERA,14 ASPE (JUANMA)</t>
        </is>
      </c>
      <c r="B479" s="6" t="inlineStr">
        <is>
          <t>632,00</t>
        </is>
      </c>
      <c r="C479" s="6" t="inlineStr">
        <is>
          <t>18/02/2026</t>
        </is>
      </c>
      <c r="D479" s="6" t="inlineStr">
        <is>
          <t>PINTURA</t>
        </is>
      </c>
      <c r="E479" s="6" t="inlineStr">
        <is>
          <t>DECOBRIC SANZ SL</t>
        </is>
      </c>
      <c r="F479" s="6" t="inlineStr">
        <is>
          <t>IMPUTADO</t>
        </is>
      </c>
      <c r="G479" s="4" t="n">
        <v>40.79</v>
      </c>
    </row>
    <row r="480">
      <c r="A480" s="6" t="inlineStr">
        <is>
          <t>OBRA C/FORMENTERA,14 ASPE (JUANMA)</t>
        </is>
      </c>
      <c r="B480" s="6" t="inlineStr">
        <is>
          <t>353,00</t>
        </is>
      </c>
      <c r="C480" s="6" t="inlineStr">
        <is>
          <t>18/02/2026</t>
        </is>
      </c>
      <c r="D480" s="6" t="inlineStr">
        <is>
          <t>PEGA SELLA</t>
        </is>
      </c>
      <c r="E480" s="6" t="inlineStr"/>
      <c r="F480" s="6" t="inlineStr">
        <is>
          <t>IMPUTADO</t>
        </is>
      </c>
      <c r="G480" s="4" t="n">
        <v>36.66</v>
      </c>
    </row>
    <row r="481">
      <c r="A481" s="6" t="inlineStr">
        <is>
          <t>OBRA C/FORMENTERA,14 ASPE (JUANMA)</t>
        </is>
      </c>
      <c r="B481" s="6" t="inlineStr">
        <is>
          <t>87,00</t>
        </is>
      </c>
      <c r="C481" s="6" t="inlineStr">
        <is>
          <t>18/02/2026</t>
        </is>
      </c>
      <c r="D481" s="6" t="inlineStr">
        <is>
          <t>PICA TOMA TIERRA</t>
        </is>
      </c>
      <c r="E481" s="6" t="inlineStr"/>
      <c r="F481" s="6" t="inlineStr">
        <is>
          <t>IMPUTADO</t>
        </is>
      </c>
      <c r="G481" s="4" t="n">
        <v>35.5</v>
      </c>
    </row>
    <row r="482">
      <c r="A482" s="6" t="inlineStr">
        <is>
          <t>OBRA C/FORMENTERA,14 ASPE (JUANMA)</t>
        </is>
      </c>
      <c r="B482" s="6" t="inlineStr">
        <is>
          <t>171,00</t>
        </is>
      </c>
      <c r="C482" s="6" t="inlineStr">
        <is>
          <t>18/02/2026</t>
        </is>
      </c>
      <c r="D482" s="6" t="inlineStr">
        <is>
          <t>MATERIAL</t>
        </is>
      </c>
      <c r="E482" s="6" t="inlineStr"/>
      <c r="F482" s="6" t="inlineStr">
        <is>
          <t>IMPUTADO</t>
        </is>
      </c>
      <c r="G482" s="4" t="n">
        <v>35.06</v>
      </c>
    </row>
    <row r="483">
      <c r="A483" s="6" t="inlineStr">
        <is>
          <t>OBRA C/FORMENTERA,14 ASPE (JUANMA)</t>
        </is>
      </c>
      <c r="B483" s="6" t="inlineStr">
        <is>
          <t>204,00</t>
        </is>
      </c>
      <c r="C483" s="6" t="inlineStr">
        <is>
          <t>14/03/2025</t>
        </is>
      </c>
      <c r="D483" s="6" t="inlineStr">
        <is>
          <t>HIERRO</t>
        </is>
      </c>
      <c r="E483" s="6" t="inlineStr"/>
      <c r="F483" s="6" t="inlineStr">
        <is>
          <t>IMPUTADO</t>
        </is>
      </c>
      <c r="G483" s="4" t="n">
        <v>28.94</v>
      </c>
    </row>
    <row r="484">
      <c r="A484" s="6" t="inlineStr">
        <is>
          <t>OBRA C/FORMENTERA,14 ASPE (JUANMA)</t>
        </is>
      </c>
      <c r="B484" s="6" t="inlineStr">
        <is>
          <t>348,00</t>
        </is>
      </c>
      <c r="C484" s="6" t="inlineStr">
        <is>
          <t>18/02/2026</t>
        </is>
      </c>
      <c r="D484" s="6" t="inlineStr">
        <is>
          <t>MORTERO</t>
        </is>
      </c>
      <c r="E484" s="6" t="inlineStr"/>
      <c r="F484" s="6" t="inlineStr">
        <is>
          <t>IMPUTADO</t>
        </is>
      </c>
      <c r="G484" s="4" t="n">
        <v>26.88</v>
      </c>
    </row>
    <row r="485">
      <c r="A485" s="6" t="inlineStr">
        <is>
          <t>OBRA C/FORMENTERA,14 ASPE (JUANMA)</t>
        </is>
      </c>
      <c r="B485" s="6" t="inlineStr">
        <is>
          <t>84,00</t>
        </is>
      </c>
      <c r="C485" s="6" t="inlineStr">
        <is>
          <t>18/02/2026</t>
        </is>
      </c>
      <c r="D485" s="6" t="inlineStr">
        <is>
          <t>PUERTA CONTADOR AGUA</t>
        </is>
      </c>
      <c r="E485" s="6" t="inlineStr"/>
      <c r="F485" s="6" t="inlineStr">
        <is>
          <t>IMPUTADO</t>
        </is>
      </c>
      <c r="G485" s="4" t="n">
        <v>20.94</v>
      </c>
    </row>
    <row r="486">
      <c r="A486" s="6" t="inlineStr">
        <is>
          <t>OBRA C/FORMENTERA,14 ASPE (JUANMA)</t>
        </is>
      </c>
      <c r="B486" s="6" t="inlineStr">
        <is>
          <t>295,00</t>
        </is>
      </c>
      <c r="C486" s="6" t="inlineStr">
        <is>
          <t>05/06/2025</t>
        </is>
      </c>
      <c r="D486" s="6" t="inlineStr">
        <is>
          <t>MUESTRA PIEDRA</t>
        </is>
      </c>
      <c r="E486" s="6" t="inlineStr"/>
      <c r="F486" s="6" t="inlineStr">
        <is>
          <t>IMPUTADO</t>
        </is>
      </c>
      <c r="G486" s="4" t="n">
        <v>20.8</v>
      </c>
    </row>
    <row r="487">
      <c r="A487" s="6" t="inlineStr">
        <is>
          <t>OBRA C/FORMENTERA,14 ASPE (JUANMA)</t>
        </is>
      </c>
      <c r="B487" s="6" t="inlineStr">
        <is>
          <t>583,00</t>
        </is>
      </c>
      <c r="C487" s="6" t="inlineStr">
        <is>
          <t>18/02/2026</t>
        </is>
      </c>
      <c r="D487" s="6" t="inlineStr">
        <is>
          <t>CAPAZOS PVC NEGRO</t>
        </is>
      </c>
      <c r="E487" s="6" t="inlineStr"/>
      <c r="F487" s="6" t="inlineStr">
        <is>
          <t>IMPUTADO</t>
        </is>
      </c>
      <c r="G487" s="4" t="n">
        <v>19.59</v>
      </c>
    </row>
    <row r="488">
      <c r="A488" s="6" t="inlineStr">
        <is>
          <t>OBRA C/FORMENTERA,14 ASPE (JUANMA)</t>
        </is>
      </c>
      <c r="B488" s="6" t="inlineStr">
        <is>
          <t>470,00</t>
        </is>
      </c>
      <c r="C488" s="6" t="inlineStr">
        <is>
          <t>18/02/2026</t>
        </is>
      </c>
      <c r="D488" s="6" t="inlineStr">
        <is>
          <t>PVC PISCINA</t>
        </is>
      </c>
      <c r="E488" s="6" t="inlineStr"/>
      <c r="F488" s="6" t="inlineStr">
        <is>
          <t>IMPUTADO</t>
        </is>
      </c>
      <c r="G488" s="4" t="n">
        <v>18.33</v>
      </c>
    </row>
    <row r="489">
      <c r="A489" s="6" t="inlineStr">
        <is>
          <t>OBRA C/FORMENTERA,14 ASPE (JUANMA)</t>
        </is>
      </c>
      <c r="B489" s="6" t="inlineStr">
        <is>
          <t>414,00</t>
        </is>
      </c>
      <c r="C489" s="6" t="inlineStr">
        <is>
          <t>18/02/2026</t>
        </is>
      </c>
      <c r="D489" s="6" t="inlineStr">
        <is>
          <t>RESINA PUENTE</t>
        </is>
      </c>
      <c r="E489" s="6" t="inlineStr"/>
      <c r="F489" s="6" t="inlineStr">
        <is>
          <t>IMPUTADO</t>
        </is>
      </c>
      <c r="G489" s="4" t="n">
        <v>16.06</v>
      </c>
    </row>
    <row r="490">
      <c r="A490" s="6" t="inlineStr">
        <is>
          <t>OBRA C/FORMENTERA,14 ASPE (JUANMA)</t>
        </is>
      </c>
      <c r="B490" s="6" t="inlineStr">
        <is>
          <t>425,00</t>
        </is>
      </c>
      <c r="C490" s="6" t="inlineStr">
        <is>
          <t>18/02/2026</t>
        </is>
      </c>
      <c r="D490" s="6" t="inlineStr">
        <is>
          <t>RESINA PUENTE UNION</t>
        </is>
      </c>
      <c r="E490" s="6" t="inlineStr"/>
      <c r="F490" s="6" t="inlineStr">
        <is>
          <t>IMPUTADO</t>
        </is>
      </c>
      <c r="G490" s="4" t="n">
        <v>15.16</v>
      </c>
    </row>
    <row r="491">
      <c r="A491" s="6" t="inlineStr">
        <is>
          <t>OBRA C/FORMENTERA,14 ASPE (JUANMA)</t>
        </is>
      </c>
      <c r="B491" s="6" t="inlineStr">
        <is>
          <t>79,00</t>
        </is>
      </c>
      <c r="C491" s="6" t="inlineStr">
        <is>
          <t>18/02/2026</t>
        </is>
      </c>
      <c r="D491" s="6" t="inlineStr">
        <is>
          <t>ESTACIONES PRIENTO CB</t>
        </is>
      </c>
      <c r="E491" s="6" t="inlineStr"/>
      <c r="F491" s="6" t="inlineStr">
        <is>
          <t>IMPUTADO</t>
        </is>
      </c>
      <c r="G491" s="4" t="n">
        <v>14.89</v>
      </c>
    </row>
    <row r="492">
      <c r="A492" s="6" t="inlineStr">
        <is>
          <t>OBRA C/FORMENTERA,14 ASPE (JUANMA)</t>
        </is>
      </c>
      <c r="B492" s="6" t="inlineStr">
        <is>
          <t>294,00</t>
        </is>
      </c>
      <c r="C492" s="6" t="inlineStr">
        <is>
          <t>18/02/2026</t>
        </is>
      </c>
      <c r="D492" s="6" t="inlineStr">
        <is>
          <t>MUESTRA PIEDRA</t>
        </is>
      </c>
      <c r="E492" s="6" t="inlineStr"/>
      <c r="F492" s="6" t="inlineStr">
        <is>
          <t>IMPUTADO</t>
        </is>
      </c>
      <c r="G492" s="4" t="n">
        <v>14.3</v>
      </c>
    </row>
    <row r="493">
      <c r="A493" s="6" t="inlineStr">
        <is>
          <t>OBRA C/FORMENTERA,14 ASPE (JUANMA)</t>
        </is>
      </c>
      <c r="B493" s="6" t="inlineStr">
        <is>
          <t>459,00</t>
        </is>
      </c>
      <c r="C493" s="6" t="inlineStr">
        <is>
          <t>18/02/2026</t>
        </is>
      </c>
      <c r="D493" s="6" t="inlineStr">
        <is>
          <t>SACO GRAVIN</t>
        </is>
      </c>
      <c r="E493" s="6" t="inlineStr"/>
      <c r="F493" s="6" t="inlineStr">
        <is>
          <t>IMPUTADO</t>
        </is>
      </c>
      <c r="G493" s="4" t="n">
        <v>11.7</v>
      </c>
    </row>
    <row r="494">
      <c r="A494" s="6" t="inlineStr">
        <is>
          <t>OBRA C/FORMENTERA,14 ASPE (JUANMA)</t>
        </is>
      </c>
      <c r="B494" s="6" t="inlineStr">
        <is>
          <t>357,00</t>
        </is>
      </c>
      <c r="C494" s="6" t="inlineStr">
        <is>
          <t>18/02/2026</t>
        </is>
      </c>
      <c r="D494" s="6" t="inlineStr">
        <is>
          <t>CARTUCHO SILICONA</t>
        </is>
      </c>
      <c r="E494" s="6" t="inlineStr"/>
      <c r="F494" s="6" t="inlineStr">
        <is>
          <t>IMPUTADO</t>
        </is>
      </c>
      <c r="G494" s="4" t="n">
        <v>11.03</v>
      </c>
    </row>
    <row r="495">
      <c r="A495" s="6" t="inlineStr">
        <is>
          <t>OBRA C/FORMENTERA,14 ASPE (JUANMA)</t>
        </is>
      </c>
      <c r="B495" s="6" t="inlineStr">
        <is>
          <t>358,00</t>
        </is>
      </c>
      <c r="C495" s="6" t="inlineStr">
        <is>
          <t>18/02/2026</t>
        </is>
      </c>
      <c r="D495" s="6" t="inlineStr">
        <is>
          <t>ADDHESIVO QUITAGRASA</t>
        </is>
      </c>
      <c r="E495" s="6" t="inlineStr"/>
      <c r="F495" s="6" t="inlineStr">
        <is>
          <t>IMPUTADO</t>
        </is>
      </c>
      <c r="G495" s="4" t="n">
        <v>10.54</v>
      </c>
    </row>
    <row r="496">
      <c r="A496" s="6" t="inlineStr">
        <is>
          <t>OBRA C/FORMENTERA,14 ASPE (JUANMA)</t>
        </is>
      </c>
      <c r="B496" s="6" t="inlineStr">
        <is>
          <t>1.239,00</t>
        </is>
      </c>
      <c r="C496" s="6" t="inlineStr">
        <is>
          <t>07/04/2026</t>
        </is>
      </c>
      <c r="D496" s="6" t="inlineStr">
        <is>
          <t>TORNILLERIA ARQUETAS</t>
        </is>
      </c>
      <c r="E496" s="6" t="inlineStr">
        <is>
          <t>SUMINISTROS INDUSTRIALES FARELL SA</t>
        </is>
      </c>
      <c r="F496" s="6" t="inlineStr">
        <is>
          <t>IMPUTADO</t>
        </is>
      </c>
      <c r="G496" s="4" t="n">
        <v>10.39</v>
      </c>
    </row>
    <row r="497">
      <c r="A497" s="6" t="inlineStr">
        <is>
          <t>OBRA C/FORMENTERA,14 ASPE (JUANMA)</t>
        </is>
      </c>
      <c r="B497" s="6" t="inlineStr">
        <is>
          <t>305,00</t>
        </is>
      </c>
      <c r="C497" s="6" t="inlineStr">
        <is>
          <t>18/02/2026</t>
        </is>
      </c>
      <c r="D497" s="6" t="inlineStr">
        <is>
          <t>MASILLA</t>
        </is>
      </c>
      <c r="E497" s="6" t="inlineStr"/>
      <c r="F497" s="6" t="inlineStr">
        <is>
          <t>IMPUTADO</t>
        </is>
      </c>
      <c r="G497" s="4" t="n">
        <v>10.16</v>
      </c>
    </row>
    <row r="498">
      <c r="A498" s="6" t="inlineStr">
        <is>
          <t>OBRA C/FORMENTERA,14 ASPE (JUANMA)</t>
        </is>
      </c>
      <c r="B498" s="6" t="inlineStr">
        <is>
          <t>144,00</t>
        </is>
      </c>
      <c r="C498" s="6" t="inlineStr">
        <is>
          <t>18/02/2026</t>
        </is>
      </c>
      <c r="D498" s="6" t="inlineStr">
        <is>
          <t>MATERIAL OBRA</t>
        </is>
      </c>
      <c r="E498" s="6" t="inlineStr"/>
      <c r="F498" s="6" t="inlineStr">
        <is>
          <t>IMPUTADO</t>
        </is>
      </c>
      <c r="G498" s="4" t="n">
        <v>9.77</v>
      </c>
    </row>
    <row r="499">
      <c r="A499" s="6" t="inlineStr">
        <is>
          <t>OBRA C/FORMENTERA,14 ASPE (JUANMA)</t>
        </is>
      </c>
      <c r="B499" s="6" t="inlineStr">
        <is>
          <t>1.240,00</t>
        </is>
      </c>
      <c r="C499" s="6" t="inlineStr">
        <is>
          <t>07/04/2026</t>
        </is>
      </c>
      <c r="D499" s="6" t="inlineStr">
        <is>
          <t>MATERIAL #albañileria</t>
        </is>
      </c>
      <c r="E499" s="6" t="inlineStr">
        <is>
          <t>LEROY MERLIN ESPAÑA SL</t>
        </is>
      </c>
      <c r="F499" s="6" t="inlineStr">
        <is>
          <t>IMPUTADO</t>
        </is>
      </c>
      <c r="G499" s="4" t="n">
        <v>9.369999999999999</v>
      </c>
    </row>
    <row r="500">
      <c r="A500" s="6" t="inlineStr">
        <is>
          <t>OBRA C/FORMENTERA,14 ASPE (JUANMA)</t>
        </is>
      </c>
      <c r="B500" s="6" t="inlineStr">
        <is>
          <t>122,00</t>
        </is>
      </c>
      <c r="C500" s="6" t="inlineStr">
        <is>
          <t>18/02/2026</t>
        </is>
      </c>
      <c r="D500" s="6" t="inlineStr">
        <is>
          <t>CEPILLO LIMPIEZA</t>
        </is>
      </c>
      <c r="E500" s="6" t="inlineStr"/>
      <c r="F500" s="6" t="inlineStr">
        <is>
          <t>IMPUTADO</t>
        </is>
      </c>
      <c r="G500" s="4" t="n">
        <v>9.06</v>
      </c>
    </row>
    <row r="501">
      <c r="A501" s="6" t="inlineStr">
        <is>
          <t>OBRA C/FORMENTERA,14 ASPE (JUANMA)</t>
        </is>
      </c>
      <c r="B501" s="6" t="inlineStr">
        <is>
          <t>384,00</t>
        </is>
      </c>
      <c r="C501" s="6" t="inlineStr">
        <is>
          <t>18/02/2026</t>
        </is>
      </c>
      <c r="D501" s="6" t="inlineStr">
        <is>
          <t>CANTONERA ESQUINA MONOCAPA</t>
        </is>
      </c>
      <c r="E501" s="6" t="inlineStr"/>
      <c r="F501" s="6" t="inlineStr">
        <is>
          <t>IMPUTADO</t>
        </is>
      </c>
      <c r="G501" s="4" t="n">
        <v>7.41</v>
      </c>
    </row>
    <row r="502">
      <c r="A502" s="6" t="inlineStr">
        <is>
          <t>OBRA C/FORMENTERA,14 ASPE (JUANMA)</t>
        </is>
      </c>
      <c r="B502" s="6" t="inlineStr">
        <is>
          <t>151,00</t>
        </is>
      </c>
      <c r="C502" s="6" t="inlineStr">
        <is>
          <t>17/02/2025</t>
        </is>
      </c>
      <c r="D502" s="6" t="inlineStr">
        <is>
          <t>CLAVOS ACERO</t>
        </is>
      </c>
      <c r="E502" s="6" t="inlineStr"/>
      <c r="F502" s="6" t="inlineStr">
        <is>
          <t>IMPUTADO</t>
        </is>
      </c>
      <c r="G502" s="4" t="n">
        <v>7.4</v>
      </c>
    </row>
    <row r="503">
      <c r="A503" s="6" t="inlineStr">
        <is>
          <t>OBRA C/FORMENTERA,14 ASPE (JUANMA)</t>
        </is>
      </c>
      <c r="B503" s="6" t="inlineStr">
        <is>
          <t>236,00</t>
        </is>
      </c>
      <c r="C503" s="6" t="inlineStr">
        <is>
          <t>18/02/2026</t>
        </is>
      </c>
      <c r="D503" s="6" t="inlineStr">
        <is>
          <t>ANCLAJES GRAPAMAR</t>
        </is>
      </c>
      <c r="E503" s="6" t="inlineStr"/>
      <c r="F503" s="6" t="inlineStr">
        <is>
          <t>IMPUTADO</t>
        </is>
      </c>
      <c r="G503" s="4" t="n">
        <v>6</v>
      </c>
    </row>
    <row r="504">
      <c r="A504" s="6" t="inlineStr">
        <is>
          <t>OBRA C/FORMENTERA,14 ASPE (JUANMA)</t>
        </is>
      </c>
      <c r="B504" s="6" t="inlineStr">
        <is>
          <t>465,00</t>
        </is>
      </c>
      <c r="C504" s="6" t="inlineStr">
        <is>
          <t>18/02/2026</t>
        </is>
      </c>
      <c r="D504" s="6" t="inlineStr">
        <is>
          <t>MUESTRAS</t>
        </is>
      </c>
      <c r="E504" s="6" t="inlineStr"/>
      <c r="F504" s="6" t="inlineStr">
        <is>
          <t>IMPUTADO</t>
        </is>
      </c>
      <c r="G504" s="4" t="n">
        <v>5.15</v>
      </c>
    </row>
    <row r="505">
      <c r="A505" s="6" t="inlineStr">
        <is>
          <t>OBRA C/HUERTO CAPUCHINOS, MURCIA (COLEGIO MAYOR)</t>
        </is>
      </c>
      <c r="B505" s="6" t="inlineStr">
        <is>
          <t>382,00</t>
        </is>
      </c>
      <c r="C505" s="6" t="inlineStr"/>
      <c r="D505" s="6" t="inlineStr">
        <is>
          <t>CONTENEDORES (1-10 JULIO)</t>
        </is>
      </c>
      <c r="E505" s="6" t="inlineStr"/>
      <c r="F505" s="6" t="inlineStr">
        <is>
          <t>SIN IMPUTAR</t>
        </is>
      </c>
      <c r="G505" s="4" t="n">
        <v>5370</v>
      </c>
    </row>
    <row r="506">
      <c r="A506" s="6" t="inlineStr">
        <is>
          <t>OBRA C/HUERTO CAPUCHINOS, MURCIA (COLEGIO MAYOR)</t>
        </is>
      </c>
      <c r="B506" s="6" t="inlineStr">
        <is>
          <t>361,00</t>
        </is>
      </c>
      <c r="C506" s="6" t="inlineStr"/>
      <c r="D506" s="6" t="inlineStr">
        <is>
          <t>CONTENEDORES (10-23 JULIO)</t>
        </is>
      </c>
      <c r="E506" s="6" t="inlineStr"/>
      <c r="F506" s="6" t="inlineStr">
        <is>
          <t>SIN IMPUTAR</t>
        </is>
      </c>
      <c r="G506" s="4" t="n">
        <v>4704</v>
      </c>
    </row>
    <row r="507">
      <c r="A507" s="6" t="inlineStr">
        <is>
          <t>OBRA C/HUERTO CAPUCHINOS, MURCIA (COLEGIO MAYOR)</t>
        </is>
      </c>
      <c r="B507" s="6" t="inlineStr">
        <is>
          <t>446,00</t>
        </is>
      </c>
      <c r="C507" s="6" t="inlineStr"/>
      <c r="D507" s="6" t="inlineStr">
        <is>
          <t>TRABAJOS VERTICALES</t>
        </is>
      </c>
      <c r="E507" s="6" t="inlineStr"/>
      <c r="F507" s="6" t="inlineStr">
        <is>
          <t>SIN IMPUTAR</t>
        </is>
      </c>
      <c r="G507" s="4" t="n">
        <v>4250</v>
      </c>
    </row>
    <row r="508">
      <c r="A508" s="6" t="inlineStr">
        <is>
          <t>OBRA C/HUERTO CAPUCHINOS, MURCIA (COLEGIO MAYOR)</t>
        </is>
      </c>
      <c r="B508" s="6" t="inlineStr">
        <is>
          <t>403,00</t>
        </is>
      </c>
      <c r="C508" s="6" t="inlineStr"/>
      <c r="D508" s="6" t="inlineStr">
        <is>
          <t>CONTENEDORES</t>
        </is>
      </c>
      <c r="E508" s="6" t="inlineStr"/>
      <c r="F508" s="6" t="inlineStr">
        <is>
          <t>SIN IMPUTAR</t>
        </is>
      </c>
      <c r="G508" s="4" t="n">
        <v>3680</v>
      </c>
    </row>
    <row r="509">
      <c r="A509" s="6" t="inlineStr">
        <is>
          <t>OBRA C/HUERTO CAPUCHINOS, MURCIA (COLEGIO MAYOR)</t>
        </is>
      </c>
      <c r="B509" s="6" t="inlineStr">
        <is>
          <t>421,00</t>
        </is>
      </c>
      <c r="C509" s="6" t="inlineStr"/>
      <c r="D509" s="6" t="inlineStr">
        <is>
          <t>CONTENEDORES</t>
        </is>
      </c>
      <c r="E509" s="6" t="inlineStr"/>
      <c r="F509" s="6" t="inlineStr">
        <is>
          <t>SIN IMPUTAR</t>
        </is>
      </c>
      <c r="G509" s="4" t="n">
        <v>2765.5</v>
      </c>
    </row>
    <row r="510">
      <c r="A510" s="6" t="inlineStr">
        <is>
          <t>OBRA C/HUERTO CAPUCHINOS, MURCIA (COLEGIO MAYOR)</t>
        </is>
      </c>
      <c r="B510" s="6" t="inlineStr">
        <is>
          <t>444,00</t>
        </is>
      </c>
      <c r="C510" s="6" t="inlineStr"/>
      <c r="D510" s="6" t="inlineStr">
        <is>
          <t>PORTE + HORAS MINI</t>
        </is>
      </c>
      <c r="E510" s="6" t="inlineStr">
        <is>
          <t>TREXGRUCO SL.</t>
        </is>
      </c>
      <c r="F510" s="6" t="inlineStr">
        <is>
          <t>SIN IMPUTAR</t>
        </is>
      </c>
      <c r="G510" s="4" t="n">
        <v>1675</v>
      </c>
    </row>
    <row r="511">
      <c r="A511" s="6" t="inlineStr">
        <is>
          <t>OBRA C/HUERTO CAPUCHINOS, MURCIA (COLEGIO MAYOR)</t>
        </is>
      </c>
      <c r="B511" s="6" t="inlineStr">
        <is>
          <t>402,00</t>
        </is>
      </c>
      <c r="C511" s="6" t="inlineStr"/>
      <c r="D511" s="6" t="inlineStr">
        <is>
          <t>HORAS MINI Y SACAR ESCOMBRO</t>
        </is>
      </c>
      <c r="E511" s="6" t="inlineStr">
        <is>
          <t>TREXGRUCO SL.</t>
        </is>
      </c>
      <c r="F511" s="6" t="inlineStr">
        <is>
          <t>SIN IMPUTAR</t>
        </is>
      </c>
      <c r="G511" s="4" t="n">
        <v>1360</v>
      </c>
    </row>
    <row r="512">
      <c r="A512" s="6" t="inlineStr">
        <is>
          <t>OBRA C/HUERTO CAPUCHINOS, MURCIA (COLEGIO MAYOR)</t>
        </is>
      </c>
      <c r="B512" s="6" t="inlineStr">
        <is>
          <t>413,00</t>
        </is>
      </c>
      <c r="C512" s="6" t="inlineStr"/>
      <c r="D512" s="6" t="inlineStr">
        <is>
          <t>TRABAJOS VERTICALES</t>
        </is>
      </c>
      <c r="E512" s="6" t="inlineStr"/>
      <c r="F512" s="6" t="inlineStr">
        <is>
          <t>SIN IMPUTAR</t>
        </is>
      </c>
      <c r="G512" s="4" t="n">
        <v>1010</v>
      </c>
    </row>
    <row r="513">
      <c r="A513" s="6" t="inlineStr">
        <is>
          <t>OBRA C/HUERTO CAPUCHINOS, MURCIA (COLEGIO MAYOR)</t>
        </is>
      </c>
      <c r="B513" s="6" t="inlineStr">
        <is>
          <t>467,00</t>
        </is>
      </c>
      <c r="C513" s="6" t="inlineStr"/>
      <c r="D513" s="6" t="inlineStr">
        <is>
          <t>HERRAMIENTA</t>
        </is>
      </c>
      <c r="E513" s="6" t="inlineStr"/>
      <c r="F513" s="6" t="inlineStr">
        <is>
          <t>SIN IMPUTAR</t>
        </is>
      </c>
      <c r="G513" s="4" t="n">
        <v>734.22</v>
      </c>
    </row>
    <row r="514">
      <c r="A514" s="6" t="inlineStr">
        <is>
          <t>OBRA C/HUERTO CAPUCHINOS, MURCIA (COLEGIO MAYOR)</t>
        </is>
      </c>
      <c r="B514" s="6" t="inlineStr">
        <is>
          <t>468,00</t>
        </is>
      </c>
      <c r="C514" s="6" t="inlineStr"/>
      <c r="D514" s="6" t="inlineStr">
        <is>
          <t>HERRAMIENTA</t>
        </is>
      </c>
      <c r="E514" s="6" t="inlineStr"/>
      <c r="F514" s="6" t="inlineStr">
        <is>
          <t>SIN IMPUTAR</t>
        </is>
      </c>
      <c r="G514" s="4" t="n">
        <v>386.37</v>
      </c>
    </row>
    <row r="515">
      <c r="A515" s="6" t="inlineStr">
        <is>
          <t>OBRA C/HUERTO CAPUCHINOS, MURCIA (COLEGIO MAYOR)</t>
        </is>
      </c>
      <c r="B515" s="6" t="inlineStr">
        <is>
          <t>333,00</t>
        </is>
      </c>
      <c r="C515" s="6" t="inlineStr"/>
      <c r="D515" s="6" t="inlineStr">
        <is>
          <t>BLOQUE</t>
        </is>
      </c>
      <c r="E515" s="6" t="inlineStr"/>
      <c r="F515" s="6" t="inlineStr">
        <is>
          <t>SIN IMPUTAR</t>
        </is>
      </c>
      <c r="G515" s="4" t="n">
        <v>328.89</v>
      </c>
    </row>
    <row r="516">
      <c r="A516" s="6" t="inlineStr">
        <is>
          <t>OBRA C/HUERTO CAPUCHINOS, MURCIA (COLEGIO MAYOR)</t>
        </is>
      </c>
      <c r="B516" s="6" t="inlineStr">
        <is>
          <t>427,00</t>
        </is>
      </c>
      <c r="C516" s="6" t="inlineStr"/>
      <c r="D516" s="6" t="inlineStr">
        <is>
          <t>HORAS MINI</t>
        </is>
      </c>
      <c r="E516" s="6" t="inlineStr">
        <is>
          <t>TREXGRUCO SL.</t>
        </is>
      </c>
      <c r="F516" s="6" t="inlineStr">
        <is>
          <t>SIN IMPUTAR</t>
        </is>
      </c>
      <c r="G516" s="4" t="n">
        <v>315</v>
      </c>
    </row>
    <row r="517">
      <c r="A517" s="6" t="inlineStr">
        <is>
          <t>OBRA C/HUERTO CAPUCHINOS, MURCIA (COLEGIO MAYOR)</t>
        </is>
      </c>
      <c r="B517" s="6" t="inlineStr">
        <is>
          <t>452,00</t>
        </is>
      </c>
      <c r="C517" s="6" t="inlineStr"/>
      <c r="D517" s="6" t="inlineStr">
        <is>
          <t>INSTALACIÓN ELÉCTRICA PARA SERVICIO OBRA</t>
        </is>
      </c>
      <c r="E517" s="6" t="inlineStr"/>
      <c r="F517" s="6" t="inlineStr">
        <is>
          <t>SIN IMPUTAR</t>
        </is>
      </c>
      <c r="G517" s="4" t="n">
        <v>278.8</v>
      </c>
    </row>
    <row r="518">
      <c r="A518" s="6" t="inlineStr">
        <is>
          <t>OBRA C/HUERTO CAPUCHINOS, MURCIA (COLEGIO MAYOR)</t>
        </is>
      </c>
      <c r="B518" s="6" t="inlineStr">
        <is>
          <t>349,00</t>
        </is>
      </c>
      <c r="C518" s="6" t="inlineStr"/>
      <c r="D518" s="6" t="inlineStr">
        <is>
          <t>CONTENEDORES</t>
        </is>
      </c>
      <c r="E518" s="6" t="inlineStr"/>
      <c r="F518" s="6" t="inlineStr">
        <is>
          <t>SIN IMPUTAR</t>
        </is>
      </c>
      <c r="G518" s="4" t="n">
        <v>190</v>
      </c>
    </row>
    <row r="519">
      <c r="A519" s="6" t="inlineStr">
        <is>
          <t>OBRA C/HUERTO CAPUCHINOS, MURCIA (COLEGIO MAYOR)</t>
        </is>
      </c>
      <c r="B519" s="6" t="inlineStr">
        <is>
          <t>334,00</t>
        </is>
      </c>
      <c r="C519" s="6" t="inlineStr"/>
      <c r="D519" s="6" t="inlineStr">
        <is>
          <t>CONTENEDOR</t>
        </is>
      </c>
      <c r="E519" s="6" t="inlineStr"/>
      <c r="F519" s="6" t="inlineStr">
        <is>
          <t>SIN IMPUTAR</t>
        </is>
      </c>
      <c r="G519" s="4" t="n">
        <v>190</v>
      </c>
    </row>
    <row r="520">
      <c r="A520" s="6" t="inlineStr">
        <is>
          <t>OBRA C/HUERTO CAPUCHINOS, MURCIA (COLEGIO MAYOR)</t>
        </is>
      </c>
      <c r="B520" s="6" t="inlineStr">
        <is>
          <t>393,00</t>
        </is>
      </c>
      <c r="C520" s="6" t="inlineStr"/>
      <c r="D520" s="6" t="inlineStr">
        <is>
          <t>MATERIAL VARIO</t>
        </is>
      </c>
      <c r="E520" s="6" t="inlineStr"/>
      <c r="F520" s="6" t="inlineStr">
        <is>
          <t>SIN IMPUTAR</t>
        </is>
      </c>
      <c r="G520" s="4" t="n">
        <v>126.88</v>
      </c>
    </row>
    <row r="521">
      <c r="A521" s="6" t="inlineStr">
        <is>
          <t>OBRA C/HUERTO CAPUCHINOS, MURCIA (COLEGIO MAYOR)</t>
        </is>
      </c>
      <c r="B521" s="6" t="inlineStr">
        <is>
          <t>455,00</t>
        </is>
      </c>
      <c r="C521" s="6" t="inlineStr"/>
      <c r="D521" s="6" t="inlineStr">
        <is>
          <t>SEÑALES OCUPACIÓN VÍA</t>
        </is>
      </c>
      <c r="E521" s="6" t="inlineStr"/>
      <c r="F521" s="6" t="inlineStr">
        <is>
          <t>SIN IMPUTAR</t>
        </is>
      </c>
      <c r="G521" s="4" t="n">
        <v>120</v>
      </c>
    </row>
    <row r="522">
      <c r="A522" s="6" t="inlineStr">
        <is>
          <t>OBRA C/HUERTO CAPUCHINOS, MURCIA (COLEGIO MAYOR)</t>
        </is>
      </c>
      <c r="B522" s="6" t="inlineStr">
        <is>
          <t>490,00</t>
        </is>
      </c>
      <c r="C522" s="6" t="inlineStr"/>
      <c r="D522" s="6" t="inlineStr">
        <is>
          <t>MATERIAL OBRA</t>
        </is>
      </c>
      <c r="E522" s="6" t="inlineStr"/>
      <c r="F522" s="6" t="inlineStr">
        <is>
          <t>SIN IMPUTAR</t>
        </is>
      </c>
      <c r="G522" s="4" t="n">
        <v>70.12</v>
      </c>
    </row>
    <row r="523">
      <c r="A523" s="6" t="inlineStr">
        <is>
          <t>OBRA C/HUERTO CAPUCHINOS, MURCIA (COLEGIO MAYOR)</t>
        </is>
      </c>
      <c r="B523" s="6" t="inlineStr">
        <is>
          <t>625,00</t>
        </is>
      </c>
      <c r="C523" s="6" t="inlineStr"/>
      <c r="D523" s="6" t="inlineStr">
        <is>
          <t>MATERIAL VARIO</t>
        </is>
      </c>
      <c r="E523" s="6" t="inlineStr">
        <is>
          <t>BRICOLAJE BRICOMAN SLU</t>
        </is>
      </c>
      <c r="F523" s="6" t="inlineStr">
        <is>
          <t>SIN IMPUTAR</t>
        </is>
      </c>
      <c r="G523" s="4" t="n">
        <v>67.55</v>
      </c>
    </row>
    <row r="524">
      <c r="A524" s="6" t="inlineStr">
        <is>
          <t>OBRA C/HUERTO CAPUCHINOS, MURCIA (COLEGIO MAYOR)</t>
        </is>
      </c>
      <c r="B524" s="6" t="inlineStr">
        <is>
          <t>457,00</t>
        </is>
      </c>
      <c r="C524" s="6" t="inlineStr"/>
      <c r="D524" s="6" t="inlineStr">
        <is>
          <t>HERRAMIENTA</t>
        </is>
      </c>
      <c r="E524" s="6" t="inlineStr"/>
      <c r="F524" s="6" t="inlineStr">
        <is>
          <t>SIN IMPUTAR</t>
        </is>
      </c>
      <c r="G524" s="4" t="n">
        <v>66.15000000000001</v>
      </c>
    </row>
    <row r="525">
      <c r="A525" s="6" t="inlineStr">
        <is>
          <t>OBRA C/HUERTO CAPUCHINOS, MURCIA (COLEGIO MAYOR)</t>
        </is>
      </c>
      <c r="B525" s="6" t="inlineStr">
        <is>
          <t>387,00</t>
        </is>
      </c>
      <c r="C525" s="6" t="inlineStr"/>
      <c r="D525" s="6" t="inlineStr">
        <is>
          <t>CAPAZO - CARRETLLA</t>
        </is>
      </c>
      <c r="E525" s="6" t="inlineStr"/>
      <c r="F525" s="6" t="inlineStr">
        <is>
          <t>SIN IMPUTAR</t>
        </is>
      </c>
      <c r="G525" s="4" t="n">
        <v>59.25</v>
      </c>
    </row>
    <row r="526">
      <c r="A526" s="6" t="inlineStr">
        <is>
          <t>OBRA C/HUERTO CAPUCHINOS, MURCIA (COLEGIO MAYOR)</t>
        </is>
      </c>
      <c r="B526" s="6" t="inlineStr">
        <is>
          <t>456,00</t>
        </is>
      </c>
      <c r="C526" s="6" t="inlineStr"/>
      <c r="D526" s="6" t="inlineStr">
        <is>
          <t>MAZA CON MANGO</t>
        </is>
      </c>
      <c r="E526" s="6" t="inlineStr"/>
      <c r="F526" s="6" t="inlineStr">
        <is>
          <t>SIN IMPUTAR</t>
        </is>
      </c>
      <c r="G526" s="4" t="n">
        <v>44.63</v>
      </c>
    </row>
    <row r="527">
      <c r="A527" s="6" t="inlineStr">
        <is>
          <t>OBRA C/HUERTO CAPUCHINOS, MURCIA (COLEGIO MAYOR)</t>
        </is>
      </c>
      <c r="B527" s="6" t="inlineStr">
        <is>
          <t>442,00</t>
        </is>
      </c>
      <c r="C527" s="6" t="inlineStr"/>
      <c r="D527" s="6" t="inlineStr">
        <is>
          <t>MATERIAL EPIS</t>
        </is>
      </c>
      <c r="E527" s="6" t="inlineStr"/>
      <c r="F527" s="6" t="inlineStr">
        <is>
          <t>SIN IMPUTAR</t>
        </is>
      </c>
      <c r="G527" s="4" t="n">
        <v>39.31</v>
      </c>
    </row>
    <row r="528">
      <c r="A528" s="6" t="inlineStr">
        <is>
          <t>OBRA C/HUERTO CAPUCHINOS, MURCIA (COLEGIO MAYOR)</t>
        </is>
      </c>
      <c r="B528" s="6" t="inlineStr">
        <is>
          <t>453,00</t>
        </is>
      </c>
      <c r="C528" s="6" t="inlineStr"/>
      <c r="D528" s="6" t="inlineStr">
        <is>
          <t>HERRAMIENTA</t>
        </is>
      </c>
      <c r="E528" s="6" t="inlineStr"/>
      <c r="F528" s="6" t="inlineStr">
        <is>
          <t>SIN IMPUTAR</t>
        </is>
      </c>
      <c r="G528" s="4" t="n">
        <v>37.91</v>
      </c>
    </row>
    <row r="529">
      <c r="A529" s="6" t="inlineStr">
        <is>
          <t>OBRA C/HUERTO CAPUCHINOS, MURCIA (COLEGIO MAYOR)</t>
        </is>
      </c>
      <c r="B529" s="6" t="inlineStr">
        <is>
          <t>432,00</t>
        </is>
      </c>
      <c r="C529" s="6" t="inlineStr"/>
      <c r="D529" s="6" t="inlineStr">
        <is>
          <t>PALA BELLOTA</t>
        </is>
      </c>
      <c r="E529" s="6" t="inlineStr"/>
      <c r="F529" s="6" t="inlineStr">
        <is>
          <t>SIN IMPUTAR</t>
        </is>
      </c>
      <c r="G529" s="4" t="n">
        <v>12.4</v>
      </c>
    </row>
    <row r="530">
      <c r="A530" s="6" t="inlineStr">
        <is>
          <t>OBRA C/IBIZA, ASPE (CASA CABO)</t>
        </is>
      </c>
      <c r="B530" s="6" t="inlineStr">
        <is>
          <t>32,00</t>
        </is>
      </c>
      <c r="C530" s="6" t="inlineStr">
        <is>
          <t>05/12/2024</t>
        </is>
      </c>
      <c r="D530" s="6" t="inlineStr">
        <is>
          <t>PRESUPUESTO 2024/198</t>
        </is>
      </c>
      <c r="E530" s="6" t="inlineStr"/>
      <c r="F530" s="6" t="inlineStr">
        <is>
          <t>SIN IMPUTAR</t>
        </is>
      </c>
      <c r="G530" s="4" t="n">
        <v>9941.5</v>
      </c>
    </row>
    <row r="531">
      <c r="A531" s="6" t="inlineStr">
        <is>
          <t>OBRA C/IBIZA, ASPE (CASA CABO)</t>
        </is>
      </c>
      <c r="B531" s="6" t="inlineStr">
        <is>
          <t>247,00</t>
        </is>
      </c>
      <c r="C531" s="6" t="inlineStr"/>
      <c r="D531" s="6" t="inlineStr">
        <is>
          <t>AZULEJOS Y PISO</t>
        </is>
      </c>
      <c r="E531" s="6" t="inlineStr">
        <is>
          <t>FAJOVI SL</t>
        </is>
      </c>
      <c r="F531" s="6" t="inlineStr">
        <is>
          <t>SIN IMPUTAR</t>
        </is>
      </c>
      <c r="G531" s="4" t="n">
        <v>8812.16</v>
      </c>
    </row>
    <row r="532">
      <c r="A532" s="6" t="inlineStr">
        <is>
          <t>OBRA C/IBIZA, ASPE (CASA CABO)</t>
        </is>
      </c>
      <c r="B532" s="6" t="inlineStr">
        <is>
          <t>46,00</t>
        </is>
      </c>
      <c r="C532" s="6" t="inlineStr"/>
      <c r="D532" s="6" t="inlineStr">
        <is>
          <t>PEDIDO AZULEJOS</t>
        </is>
      </c>
      <c r="E532" s="6" t="inlineStr">
        <is>
          <t>FAJOVI SL</t>
        </is>
      </c>
      <c r="F532" s="6" t="inlineStr">
        <is>
          <t>SIN IMPUTAR</t>
        </is>
      </c>
      <c r="G532" s="4" t="n">
        <v>8677.690000000001</v>
      </c>
    </row>
    <row r="533">
      <c r="A533" s="6" t="inlineStr">
        <is>
          <t>OBRA C/IBIZA, ASPE (CASA CABO)</t>
        </is>
      </c>
      <c r="B533" s="6" t="inlineStr">
        <is>
          <t>139,00</t>
        </is>
      </c>
      <c r="C533" s="6" t="inlineStr"/>
      <c r="D533" s="6" t="inlineStr">
        <is>
          <t>BARANDILLAS Y CRISTALES 80%</t>
        </is>
      </c>
      <c r="E533" s="6" t="inlineStr"/>
      <c r="F533" s="6" t="inlineStr">
        <is>
          <t>SIN IMPUTAR</t>
        </is>
      </c>
      <c r="G533" s="4" t="n">
        <v>8283.299999999999</v>
      </c>
    </row>
    <row r="534">
      <c r="A534" s="6" t="inlineStr">
        <is>
          <t>OBRA C/IBIZA, ASPE (CASA CABO)</t>
        </is>
      </c>
      <c r="B534" s="6" t="inlineStr">
        <is>
          <t>309,00</t>
        </is>
      </c>
      <c r="C534" s="6" t="inlineStr"/>
      <c r="D534" s="6" t="inlineStr">
        <is>
          <t>PLADUR</t>
        </is>
      </c>
      <c r="E534" s="6" t="inlineStr"/>
      <c r="F534" s="6" t="inlineStr">
        <is>
          <t>SIN IMPUTAR</t>
        </is>
      </c>
      <c r="G534" s="4" t="n">
        <v>7662.75</v>
      </c>
    </row>
    <row r="535">
      <c r="A535" s="6" t="inlineStr">
        <is>
          <t>OBRA C/IBIZA, ASPE (CASA CABO)</t>
        </is>
      </c>
      <c r="B535" s="6" t="inlineStr">
        <is>
          <t>485,00</t>
        </is>
      </c>
      <c r="C535" s="6" t="inlineStr"/>
      <c r="D535" s="6" t="inlineStr">
        <is>
          <t>PISCINA</t>
        </is>
      </c>
      <c r="E535" s="6" t="inlineStr"/>
      <c r="F535" s="6" t="inlineStr">
        <is>
          <t>SIN IMPUTAR</t>
        </is>
      </c>
      <c r="G535" s="4" t="n">
        <v>6878.4</v>
      </c>
    </row>
    <row r="536">
      <c r="A536" s="6" t="inlineStr">
        <is>
          <t>OBRA C/IBIZA, ASPE (CASA CABO)</t>
        </is>
      </c>
      <c r="B536" s="6" t="inlineStr">
        <is>
          <t>106,00</t>
        </is>
      </c>
      <c r="C536" s="6" t="inlineStr"/>
      <c r="D536" s="6" t="inlineStr">
        <is>
          <t>PLADUR</t>
        </is>
      </c>
      <c r="E536" s="6" t="inlineStr"/>
      <c r="F536" s="6" t="inlineStr">
        <is>
          <t>SIN IMPUTAR</t>
        </is>
      </c>
      <c r="G536" s="4" t="n">
        <v>5000</v>
      </c>
    </row>
    <row r="537">
      <c r="A537" s="6" t="inlineStr">
        <is>
          <t>OBRA C/IBIZA, ASPE (CASA CABO)</t>
        </is>
      </c>
      <c r="B537" s="6" t="inlineStr">
        <is>
          <t>154,00</t>
        </is>
      </c>
      <c r="C537" s="6" t="inlineStr"/>
      <c r="D537" s="6" t="inlineStr">
        <is>
          <t>INSTALACIÓN AIRE ACONDICIONADO</t>
        </is>
      </c>
      <c r="E537" s="6" t="inlineStr"/>
      <c r="F537" s="6" t="inlineStr">
        <is>
          <t>SIN IMPUTAR</t>
        </is>
      </c>
      <c r="G537" s="4" t="n">
        <v>4888</v>
      </c>
    </row>
    <row r="538">
      <c r="A538" s="6" t="inlineStr">
        <is>
          <t>OBRA C/IBIZA, ASPE (CASA CABO)</t>
        </is>
      </c>
      <c r="B538" s="6" t="inlineStr">
        <is>
          <t>227,00</t>
        </is>
      </c>
      <c r="C538" s="6" t="inlineStr"/>
      <c r="D538" s="6" t="inlineStr">
        <is>
          <t>PREFABRICADOS HORMIGON</t>
        </is>
      </c>
      <c r="E538" s="6" t="inlineStr">
        <is>
          <t>DISEÑOS EN PREFABRICADOS DE HORMIGON SL.</t>
        </is>
      </c>
      <c r="F538" s="6" t="inlineStr">
        <is>
          <t>SIN IMPUTAR</t>
        </is>
      </c>
      <c r="G538" s="4" t="n">
        <v>4645.6</v>
      </c>
    </row>
    <row r="539">
      <c r="A539" s="6" t="inlineStr">
        <is>
          <t>OBRA C/IBIZA, ASPE (CASA CABO)</t>
        </is>
      </c>
      <c r="B539" s="6" t="inlineStr">
        <is>
          <t>320,00</t>
        </is>
      </c>
      <c r="C539" s="6" t="inlineStr"/>
      <c r="D539" s="6" t="inlineStr">
        <is>
          <t>FONTANERÍA</t>
        </is>
      </c>
      <c r="E539" s="6" t="inlineStr"/>
      <c r="F539" s="6" t="inlineStr">
        <is>
          <t>SIN IMPUTAR</t>
        </is>
      </c>
      <c r="G539" s="4" t="n">
        <v>4500</v>
      </c>
    </row>
    <row r="540">
      <c r="A540" s="6" t="inlineStr">
        <is>
          <t>OBRA C/IBIZA, ASPE (CASA CABO)</t>
        </is>
      </c>
      <c r="B540" s="6" t="inlineStr">
        <is>
          <t>97,00</t>
        </is>
      </c>
      <c r="C540" s="6" t="inlineStr"/>
      <c r="D540" s="6" t="inlineStr">
        <is>
          <t>FONTANERÍA</t>
        </is>
      </c>
      <c r="E540" s="6" t="inlineStr"/>
      <c r="F540" s="6" t="inlineStr">
        <is>
          <t>SIN IMPUTAR</t>
        </is>
      </c>
      <c r="G540" s="4" t="n">
        <v>4500</v>
      </c>
    </row>
    <row r="541">
      <c r="A541" s="6" t="inlineStr">
        <is>
          <t>OBRA C/IBIZA, ASPE (CASA CABO)</t>
        </is>
      </c>
      <c r="B541" s="6" t="inlineStr">
        <is>
          <t>213,00</t>
        </is>
      </c>
      <c r="C541" s="6" t="inlineStr"/>
      <c r="D541" s="6" t="inlineStr">
        <is>
          <t>PLADUR</t>
        </is>
      </c>
      <c r="E541" s="6" t="inlineStr"/>
      <c r="F541" s="6" t="inlineStr">
        <is>
          <t>SIN IMPUTAR</t>
        </is>
      </c>
      <c r="G541" s="4" t="n">
        <v>4358.15</v>
      </c>
    </row>
    <row r="542">
      <c r="A542" s="6" t="inlineStr">
        <is>
          <t>OBRA C/IBIZA, ASPE (CASA CABO)</t>
        </is>
      </c>
      <c r="B542" s="6" t="inlineStr">
        <is>
          <t>98,00</t>
        </is>
      </c>
      <c r="C542" s="6" t="inlineStr"/>
      <c r="D542" s="6" t="inlineStr">
        <is>
          <t>MORCEM ESTUCO</t>
        </is>
      </c>
      <c r="E542" s="6" t="inlineStr"/>
      <c r="F542" s="6" t="inlineStr">
        <is>
          <t>SIN IMPUTAR</t>
        </is>
      </c>
      <c r="G542" s="4" t="n">
        <v>4132.31</v>
      </c>
    </row>
    <row r="543">
      <c r="A543" s="6" t="inlineStr">
        <is>
          <t>OBRA C/IBIZA, ASPE (CASA CABO)</t>
        </is>
      </c>
      <c r="B543" s="6" t="inlineStr">
        <is>
          <t>100,00</t>
        </is>
      </c>
      <c r="C543" s="6" t="inlineStr"/>
      <c r="D543" s="6" t="inlineStr">
        <is>
          <t>PRESUPUESTO 2024/198</t>
        </is>
      </c>
      <c r="E543" s="6" t="inlineStr"/>
      <c r="F543" s="6" t="inlineStr">
        <is>
          <t>SIN IMPUTAR</t>
        </is>
      </c>
      <c r="G543" s="4" t="n">
        <v>4118.4</v>
      </c>
    </row>
    <row r="544">
      <c r="A544" s="6" t="inlineStr">
        <is>
          <t>OBRA C/IBIZA, ASPE (CASA CABO)</t>
        </is>
      </c>
      <c r="B544" s="6" t="inlineStr">
        <is>
          <t>184,00</t>
        </is>
      </c>
      <c r="C544" s="6" t="inlineStr"/>
      <c r="D544" s="6" t="inlineStr">
        <is>
          <t>MONTAJE ANDAMIO</t>
        </is>
      </c>
      <c r="E544" s="6" t="inlineStr"/>
      <c r="F544" s="6" t="inlineStr">
        <is>
          <t>SIN IMPUTAR</t>
        </is>
      </c>
      <c r="G544" s="4" t="n">
        <v>3850</v>
      </c>
    </row>
    <row r="545">
      <c r="A545" s="6" t="inlineStr">
        <is>
          <t>OBRA C/IBIZA, ASPE (CASA CABO)</t>
        </is>
      </c>
      <c r="B545" s="6" t="inlineStr">
        <is>
          <t>360,00</t>
        </is>
      </c>
      <c r="C545" s="6" t="inlineStr"/>
      <c r="D545" s="6" t="inlineStr">
        <is>
          <t>BARANDILLA</t>
        </is>
      </c>
      <c r="E545" s="6" t="inlineStr"/>
      <c r="F545" s="6" t="inlineStr">
        <is>
          <t>SIN IMPUTAR</t>
        </is>
      </c>
      <c r="G545" s="4" t="n">
        <v>3762.2</v>
      </c>
    </row>
    <row r="546">
      <c r="A546" s="6" t="inlineStr">
        <is>
          <t>OBRA C/IBIZA, ASPE (CASA CABO)</t>
        </is>
      </c>
      <c r="B546" s="6" t="inlineStr">
        <is>
          <t>438,00</t>
        </is>
      </c>
      <c r="C546" s="6" t="inlineStr"/>
      <c r="D546" s="6" t="inlineStr">
        <is>
          <t>HORMIGÓN FRATASADO</t>
        </is>
      </c>
      <c r="E546" s="6" t="inlineStr"/>
      <c r="F546" s="6" t="inlineStr">
        <is>
          <t>SIN IMPUTAR</t>
        </is>
      </c>
      <c r="G546" s="4" t="n">
        <v>3685</v>
      </c>
    </row>
    <row r="547">
      <c r="A547" s="6" t="inlineStr">
        <is>
          <t>OBRA C/IBIZA, ASPE (CASA CABO)</t>
        </is>
      </c>
      <c r="B547" s="6" t="inlineStr">
        <is>
          <t>433,00</t>
        </is>
      </c>
      <c r="C547" s="6" t="inlineStr"/>
      <c r="D547" s="6" t="inlineStr">
        <is>
          <t>HORMIGÓN IMPRESO</t>
        </is>
      </c>
      <c r="E547" s="6" t="inlineStr"/>
      <c r="F547" s="6" t="inlineStr">
        <is>
          <t>SIN IMPUTAR</t>
        </is>
      </c>
      <c r="G547" s="4" t="n">
        <v>3685</v>
      </c>
    </row>
    <row r="548">
      <c r="A548" s="6" t="inlineStr">
        <is>
          <t>OBRA C/IBIZA, ASPE (CASA CABO)</t>
        </is>
      </c>
      <c r="B548" s="6" t="inlineStr">
        <is>
          <t>153,00</t>
        </is>
      </c>
      <c r="C548" s="6" t="inlineStr"/>
      <c r="D548" s="6" t="inlineStr">
        <is>
          <t>PREINSTALACIÓN AIRE</t>
        </is>
      </c>
      <c r="E548" s="6" t="inlineStr"/>
      <c r="F548" s="6" t="inlineStr">
        <is>
          <t>SIN IMPUTAR</t>
        </is>
      </c>
      <c r="G548" s="4" t="n">
        <v>3678</v>
      </c>
    </row>
    <row r="549">
      <c r="A549" s="6" t="inlineStr">
        <is>
          <t>OBRA C/IBIZA, ASPE (CASA CABO)</t>
        </is>
      </c>
      <c r="B549" s="6" t="inlineStr">
        <is>
          <t>196,00</t>
        </is>
      </c>
      <c r="C549" s="6" t="inlineStr"/>
      <c r="D549" s="6" t="inlineStr">
        <is>
          <t>MATERIAL OBRA</t>
        </is>
      </c>
      <c r="E549" s="6" t="inlineStr"/>
      <c r="F549" s="6" t="inlineStr">
        <is>
          <t>SIN IMPUTAR</t>
        </is>
      </c>
      <c r="G549" s="4" t="n">
        <v>3589.16</v>
      </c>
    </row>
    <row r="550">
      <c r="A550" s="6" t="inlineStr">
        <is>
          <t>OBRA C/IBIZA, ASPE (CASA CABO)</t>
        </is>
      </c>
      <c r="B550" s="6" t="inlineStr">
        <is>
          <t>366,00</t>
        </is>
      </c>
      <c r="C550" s="6" t="inlineStr"/>
      <c r="D550" s="6" t="inlineStr">
        <is>
          <t>PINTURA INTERIOR</t>
        </is>
      </c>
      <c r="E550" s="6" t="inlineStr"/>
      <c r="F550" s="6" t="inlineStr">
        <is>
          <t>SIN IMPUTAR</t>
        </is>
      </c>
      <c r="G550" s="4" t="n">
        <v>3270</v>
      </c>
    </row>
    <row r="551">
      <c r="A551" s="6" t="inlineStr">
        <is>
          <t>OBRA C/IBIZA, ASPE (CASA CABO)</t>
        </is>
      </c>
      <c r="B551" s="6" t="inlineStr">
        <is>
          <t>197,00</t>
        </is>
      </c>
      <c r="C551" s="6" t="inlineStr"/>
      <c r="D551" s="6" t="inlineStr">
        <is>
          <t>TREXGRUCO</t>
        </is>
      </c>
      <c r="E551" s="6" t="inlineStr">
        <is>
          <t>TREXGRUCO SL.</t>
        </is>
      </c>
      <c r="F551" s="6" t="inlineStr">
        <is>
          <t>SIN IMPUTAR</t>
        </is>
      </c>
      <c r="G551" s="4" t="n">
        <v>3115</v>
      </c>
    </row>
    <row r="552">
      <c r="A552" s="6" t="inlineStr">
        <is>
          <t>OBRA C/IBIZA, ASPE (CASA CABO)</t>
        </is>
      </c>
      <c r="B552" s="6" t="inlineStr">
        <is>
          <t>392,00</t>
        </is>
      </c>
      <c r="C552" s="6" t="inlineStr"/>
      <c r="D552" s="6" t="inlineStr">
        <is>
          <t>PINTURA</t>
        </is>
      </c>
      <c r="E552" s="6" t="inlineStr"/>
      <c r="F552" s="6" t="inlineStr">
        <is>
          <t>SIN IMPUTAR</t>
        </is>
      </c>
      <c r="G552" s="4" t="n">
        <v>3056</v>
      </c>
    </row>
    <row r="553">
      <c r="A553" s="6" t="inlineStr">
        <is>
          <t>OBRA C/IBIZA, ASPE (CASA CABO)</t>
        </is>
      </c>
      <c r="B553" s="6" t="inlineStr">
        <is>
          <t>424,00</t>
        </is>
      </c>
      <c r="C553" s="6" t="inlineStr"/>
      <c r="D553" s="6" t="inlineStr">
        <is>
          <t>AZULEJO</t>
        </is>
      </c>
      <c r="E553" s="6" t="inlineStr">
        <is>
          <t>FAJOVI SL</t>
        </is>
      </c>
      <c r="F553" s="6" t="inlineStr">
        <is>
          <t>SIN IMPUTAR</t>
        </is>
      </c>
      <c r="G553" s="4" t="n">
        <v>3009.73</v>
      </c>
    </row>
    <row r="554">
      <c r="A554" s="6" t="inlineStr">
        <is>
          <t>OBRA C/IBIZA, ASPE (CASA CABO)</t>
        </is>
      </c>
      <c r="B554" s="6" t="inlineStr">
        <is>
          <t>287,00</t>
        </is>
      </c>
      <c r="C554" s="6" t="inlineStr"/>
      <c r="D554" s="6" t="inlineStr">
        <is>
          <t>PINTURA INTERIOR</t>
        </is>
      </c>
      <c r="E554" s="6" t="inlineStr"/>
      <c r="F554" s="6" t="inlineStr">
        <is>
          <t>SIN IMPUTAR</t>
        </is>
      </c>
      <c r="G554" s="4" t="n">
        <v>3000</v>
      </c>
    </row>
    <row r="555">
      <c r="A555" s="6" t="inlineStr">
        <is>
          <t>OBRA C/IBIZA, ASPE (CASA CABO)</t>
        </is>
      </c>
      <c r="B555" s="6" t="inlineStr">
        <is>
          <t>375,00</t>
        </is>
      </c>
      <c r="C555" s="6" t="inlineStr"/>
      <c r="D555" s="6" t="inlineStr">
        <is>
          <t>ECOWATER DESCALCIFICADOR</t>
        </is>
      </c>
      <c r="E555" s="6" t="inlineStr"/>
      <c r="F555" s="6" t="inlineStr">
        <is>
          <t>SIN IMPUTAR</t>
        </is>
      </c>
      <c r="G555" s="4" t="n">
        <v>2696.6</v>
      </c>
    </row>
    <row r="556">
      <c r="A556" s="6" t="inlineStr">
        <is>
          <t>OBRA C/IBIZA, ASPE (CASA CABO)</t>
        </is>
      </c>
      <c r="B556" s="6" t="inlineStr">
        <is>
          <t>458,00</t>
        </is>
      </c>
      <c r="C556" s="6" t="inlineStr"/>
      <c r="D556" s="6" t="inlineStr">
        <is>
          <t>MAMPARA, REJILLA, CHAPA Y PLACA</t>
        </is>
      </c>
      <c r="E556" s="6" t="inlineStr"/>
      <c r="F556" s="6" t="inlineStr">
        <is>
          <t>SIN IMPUTAR</t>
        </is>
      </c>
      <c r="G556" s="4" t="n">
        <v>2631.25</v>
      </c>
    </row>
    <row r="557">
      <c r="A557" s="6" t="inlineStr">
        <is>
          <t>OBRA C/IBIZA, ASPE (CASA CABO)</t>
        </is>
      </c>
      <c r="B557" s="6" t="inlineStr">
        <is>
          <t>190,00</t>
        </is>
      </c>
      <c r="C557" s="6" t="inlineStr"/>
      <c r="D557" s="6" t="inlineStr">
        <is>
          <t>DESAÜES</t>
        </is>
      </c>
      <c r="E557" s="6" t="inlineStr"/>
      <c r="F557" s="6" t="inlineStr">
        <is>
          <t>SIN IMPUTAR</t>
        </is>
      </c>
      <c r="G557" s="4" t="n">
        <v>2617.54</v>
      </c>
    </row>
    <row r="558">
      <c r="A558" s="6" t="inlineStr">
        <is>
          <t>OBRA C/IBIZA, ASPE (CASA CABO)</t>
        </is>
      </c>
      <c r="B558" s="6" t="inlineStr">
        <is>
          <t>155,00</t>
        </is>
      </c>
      <c r="C558" s="6" t="inlineStr"/>
      <c r="D558" s="6" t="inlineStr">
        <is>
          <t>SISTEMA DE ZONAS AIRZONE</t>
        </is>
      </c>
      <c r="E558" s="6" t="inlineStr"/>
      <c r="F558" s="6" t="inlineStr">
        <is>
          <t>SIN IMPUTAR</t>
        </is>
      </c>
      <c r="G558" s="4" t="n">
        <v>2531</v>
      </c>
    </row>
    <row r="559">
      <c r="A559" s="6" t="inlineStr">
        <is>
          <t>OBRA C/IBIZA, ASPE (CASA CABO)</t>
        </is>
      </c>
      <c r="B559" s="6" t="inlineStr">
        <is>
          <t>288,00</t>
        </is>
      </c>
      <c r="C559" s="6" t="inlineStr"/>
      <c r="D559" s="6" t="inlineStr">
        <is>
          <t>DESMONTAJE ANDAMIO</t>
        </is>
      </c>
      <c r="E559" s="6" t="inlineStr"/>
      <c r="F559" s="6" t="inlineStr">
        <is>
          <t>SIN IMPUTAR</t>
        </is>
      </c>
      <c r="G559" s="4" t="n">
        <v>2485</v>
      </c>
    </row>
    <row r="560">
      <c r="A560" s="6" t="inlineStr">
        <is>
          <t>OBRA C/IBIZA, ASPE (CASA CABO)</t>
        </is>
      </c>
      <c r="B560" s="6" t="inlineStr">
        <is>
          <t>303,00</t>
        </is>
      </c>
      <c r="C560" s="6" t="inlineStr"/>
      <c r="D560" s="6" t="inlineStr">
        <is>
          <t>CESPED ARTIFICIAL</t>
        </is>
      </c>
      <c r="E560" s="6" t="inlineStr"/>
      <c r="F560" s="6" t="inlineStr">
        <is>
          <t>SIN IMPUTAR</t>
        </is>
      </c>
      <c r="G560" s="4" t="n">
        <v>2438.2</v>
      </c>
    </row>
    <row r="561">
      <c r="A561" s="6" t="inlineStr">
        <is>
          <t>OBRA C/IBIZA, ASPE (CASA CABO)</t>
        </is>
      </c>
      <c r="B561" s="6" t="inlineStr">
        <is>
          <t>59,00</t>
        </is>
      </c>
      <c r="C561" s="6" t="inlineStr"/>
      <c r="D561" s="6" t="inlineStr">
        <is>
          <t>MATERIALES VARIOS</t>
        </is>
      </c>
      <c r="E561" s="6" t="inlineStr"/>
      <c r="F561" s="6" t="inlineStr">
        <is>
          <t>SIN IMPUTAR</t>
        </is>
      </c>
      <c r="G561" s="4" t="n">
        <v>2321.85</v>
      </c>
    </row>
    <row r="562">
      <c r="A562" s="6" t="inlineStr">
        <is>
          <t>OBRA C/IBIZA, ASPE (CASA CABO)</t>
        </is>
      </c>
      <c r="B562" s="6" t="inlineStr">
        <is>
          <t>240,00</t>
        </is>
      </c>
      <c r="C562" s="6" t="inlineStr"/>
      <c r="D562" s="6" t="inlineStr">
        <is>
          <t>MANO DE OBRA MORTERO</t>
        </is>
      </c>
      <c r="E562" s="6" t="inlineStr"/>
      <c r="F562" s="6" t="inlineStr">
        <is>
          <t>SIN IMPUTAR</t>
        </is>
      </c>
      <c r="G562" s="4" t="n">
        <v>2300</v>
      </c>
    </row>
    <row r="563">
      <c r="A563" s="6" t="inlineStr">
        <is>
          <t>OBRA C/IBIZA, ASPE (CASA CABO)</t>
        </is>
      </c>
      <c r="B563" s="6" t="inlineStr">
        <is>
          <t>464,00</t>
        </is>
      </c>
      <c r="C563" s="6" t="inlineStr"/>
      <c r="D563" s="6" t="inlineStr">
        <is>
          <t>PEDIDO CESAR</t>
        </is>
      </c>
      <c r="E563" s="6" t="inlineStr">
        <is>
          <t>SALTOKI ALICANTE SL.</t>
        </is>
      </c>
      <c r="F563" s="6" t="inlineStr">
        <is>
          <t>SIN IMPUTAR</t>
        </is>
      </c>
      <c r="G563" s="4" t="n">
        <v>2193.33</v>
      </c>
    </row>
    <row r="564">
      <c r="A564" s="6" t="inlineStr">
        <is>
          <t>OBRA C/IBIZA, ASPE (CASA CABO)</t>
        </is>
      </c>
      <c r="B564" s="6" t="inlineStr">
        <is>
          <t>150,00</t>
        </is>
      </c>
      <c r="C564" s="6" t="inlineStr"/>
      <c r="D564" s="6" t="inlineStr">
        <is>
          <t>HORMIGÓN</t>
        </is>
      </c>
      <c r="E564" s="6" t="inlineStr"/>
      <c r="F564" s="6" t="inlineStr">
        <is>
          <t>SIN IMPUTAR</t>
        </is>
      </c>
      <c r="G564" s="4" t="n">
        <v>2076</v>
      </c>
    </row>
    <row r="565">
      <c r="A565" s="6" t="inlineStr">
        <is>
          <t>OBRA C/IBIZA, ASPE (CASA CABO)</t>
        </is>
      </c>
      <c r="B565" s="6" t="inlineStr">
        <is>
          <t>277,00</t>
        </is>
      </c>
      <c r="C565" s="6" t="inlineStr"/>
      <c r="D565" s="6" t="inlineStr">
        <is>
          <t>GRUA</t>
        </is>
      </c>
      <c r="E565" s="6" t="inlineStr">
        <is>
          <t>GRUAS Y MAQUINARIA PETREL SL</t>
        </is>
      </c>
      <c r="F565" s="6" t="inlineStr">
        <is>
          <t>SIN IMPUTAR</t>
        </is>
      </c>
      <c r="G565" s="4" t="n">
        <v>2030</v>
      </c>
    </row>
    <row r="566">
      <c r="A566" s="6" t="inlineStr">
        <is>
          <t>OBRA C/IBIZA, ASPE (CASA CABO)</t>
        </is>
      </c>
      <c r="B566" s="6" t="inlineStr">
        <is>
          <t>192,00</t>
        </is>
      </c>
      <c r="C566" s="6" t="inlineStr"/>
      <c r="D566" s="6" t="inlineStr">
        <is>
          <t>PIEDRA FACHADA</t>
        </is>
      </c>
      <c r="E566" s="6" t="inlineStr"/>
      <c r="F566" s="6" t="inlineStr">
        <is>
          <t>SIN IMPUTAR</t>
        </is>
      </c>
      <c r="G566" s="4" t="n">
        <v>2028</v>
      </c>
    </row>
    <row r="567">
      <c r="A567" s="6" t="inlineStr">
        <is>
          <t>OBRA C/IBIZA, ASPE (CASA CABO)</t>
        </is>
      </c>
      <c r="B567" s="6" t="inlineStr">
        <is>
          <t>91,00</t>
        </is>
      </c>
      <c r="C567" s="6" t="inlineStr"/>
      <c r="D567" s="6" t="inlineStr">
        <is>
          <t>CARPINTERÁ LOVI BLOCK</t>
        </is>
      </c>
      <c r="E567" s="6" t="inlineStr"/>
      <c r="F567" s="6" t="inlineStr">
        <is>
          <t>SIN IMPUTAR</t>
        </is>
      </c>
      <c r="G567" s="4" t="n">
        <v>1916.6</v>
      </c>
    </row>
    <row r="568">
      <c r="A568" s="6" t="inlineStr">
        <is>
          <t>OBRA C/IBIZA, ASPE (CASA CABO)</t>
        </is>
      </c>
      <c r="B568" s="6" t="inlineStr">
        <is>
          <t>104,00</t>
        </is>
      </c>
      <c r="C568" s="6" t="inlineStr"/>
      <c r="D568" s="6" t="inlineStr">
        <is>
          <t>30% PRESUPUESTO 25PF00010</t>
        </is>
      </c>
      <c r="E568" s="6" t="inlineStr">
        <is>
          <t>DISEÑOS EN PREFABRICADOS DE HORMIGON SL.</t>
        </is>
      </c>
      <c r="F568" s="6" t="inlineStr">
        <is>
          <t>SIN IMPUTAR</t>
        </is>
      </c>
      <c r="G568" s="4" t="n">
        <v>1872</v>
      </c>
    </row>
    <row r="569">
      <c r="A569" s="6" t="inlineStr">
        <is>
          <t>OBRA C/IBIZA, ASPE (CASA CABO)</t>
        </is>
      </c>
      <c r="B569" s="6" t="inlineStr">
        <is>
          <t>1,00</t>
        </is>
      </c>
      <c r="C569" s="6" t="inlineStr"/>
      <c r="D569" s="6" t="inlineStr">
        <is>
          <t>TRABAJOS YESO</t>
        </is>
      </c>
      <c r="E569" s="6" t="inlineStr">
        <is>
          <t>JOSE GARCÍA HUESCA</t>
        </is>
      </c>
      <c r="F569" s="6" t="inlineStr">
        <is>
          <t>SIN IMPUTAR</t>
        </is>
      </c>
      <c r="G569" s="4" t="n">
        <v>1800</v>
      </c>
    </row>
    <row r="570">
      <c r="A570" s="6" t="inlineStr">
        <is>
          <t>OBRA C/IBIZA, ASPE (CASA CABO)</t>
        </is>
      </c>
      <c r="B570" s="6" t="inlineStr">
        <is>
          <t>451,00</t>
        </is>
      </c>
      <c r="C570" s="6" t="inlineStr"/>
      <c r="D570" s="6" t="inlineStr">
        <is>
          <t>ZYPHO SLIM</t>
        </is>
      </c>
      <c r="E570" s="6" t="inlineStr">
        <is>
          <t>SALTOKI ALICANTE SL.</t>
        </is>
      </c>
      <c r="F570" s="6" t="inlineStr">
        <is>
          <t>SIN IMPUTAR</t>
        </is>
      </c>
      <c r="G570" s="4" t="n">
        <v>1792.56</v>
      </c>
    </row>
    <row r="571">
      <c r="A571" s="6" t="inlineStr">
        <is>
          <t>OBRA C/IBIZA, ASPE (CASA CABO)</t>
        </is>
      </c>
      <c r="B571" s="6" t="inlineStr">
        <is>
          <t>138,00</t>
        </is>
      </c>
      <c r="C571" s="6" t="inlineStr"/>
      <c r="D571" s="6" t="inlineStr">
        <is>
          <t>ESTRUCTURA METÁLICA</t>
        </is>
      </c>
      <c r="E571" s="6" t="inlineStr"/>
      <c r="F571" s="6" t="inlineStr">
        <is>
          <t>SIN IMPUTAR</t>
        </is>
      </c>
      <c r="G571" s="4" t="n">
        <v>1775</v>
      </c>
    </row>
    <row r="572">
      <c r="A572" s="6" t="inlineStr">
        <is>
          <t>OBRA C/IBIZA, ASPE (CASA CABO)</t>
        </is>
      </c>
      <c r="B572" s="6" t="inlineStr">
        <is>
          <t>298,00</t>
        </is>
      </c>
      <c r="C572" s="6" t="inlineStr"/>
      <c r="D572" s="6" t="inlineStr">
        <is>
          <t>PORCELÁNICO BLANCO MATE</t>
        </is>
      </c>
      <c r="E572" s="6" t="inlineStr"/>
      <c r="F572" s="6" t="inlineStr">
        <is>
          <t>SIN IMPUTAR</t>
        </is>
      </c>
      <c r="G572" s="4" t="n">
        <v>1666.08</v>
      </c>
    </row>
    <row r="573">
      <c r="A573" s="6" t="inlineStr">
        <is>
          <t>OBRA C/IBIZA, ASPE (CASA CABO)</t>
        </is>
      </c>
      <c r="B573" s="6" t="inlineStr">
        <is>
          <t>286,00</t>
        </is>
      </c>
      <c r="C573" s="6" t="inlineStr"/>
      <c r="D573" s="6" t="inlineStr">
        <is>
          <t>ENLUCIDO FACHADA</t>
        </is>
      </c>
      <c r="E573" s="6" t="inlineStr"/>
      <c r="F573" s="6" t="inlineStr">
        <is>
          <t>SIN IMPUTAR</t>
        </is>
      </c>
      <c r="G573" s="4" t="n">
        <v>1600</v>
      </c>
    </row>
    <row r="574">
      <c r="A574" s="6" t="inlineStr">
        <is>
          <t>OBRA C/IBIZA, ASPE (CASA CABO)</t>
        </is>
      </c>
      <c r="B574" s="6" t="inlineStr">
        <is>
          <t>626,00</t>
        </is>
      </c>
      <c r="C574" s="6" t="inlineStr"/>
      <c r="D574" s="6" t="inlineStr">
        <is>
          <t>MICROPULIDO DE HORMIGÓN</t>
        </is>
      </c>
      <c r="E574" s="6" t="inlineStr">
        <is>
          <t>VICTOR MANUEL EGEA BARNEO</t>
        </is>
      </c>
      <c r="F574" s="6" t="inlineStr">
        <is>
          <t>SIN IMPUTAR</t>
        </is>
      </c>
      <c r="G574" s="4" t="n">
        <v>1582</v>
      </c>
    </row>
    <row r="575">
      <c r="A575" s="6" t="inlineStr">
        <is>
          <t>OBRA C/IBIZA, ASPE (CASA CABO)</t>
        </is>
      </c>
      <c r="B575" s="6" t="inlineStr">
        <is>
          <t>163,00</t>
        </is>
      </c>
      <c r="C575" s="6" t="inlineStr"/>
      <c r="D575" s="6" t="inlineStr">
        <is>
          <t>CONDUCTOS RETORNO</t>
        </is>
      </c>
      <c r="E575" s="6" t="inlineStr"/>
      <c r="F575" s="6" t="inlineStr">
        <is>
          <t>SIN IMPUTAR</t>
        </is>
      </c>
      <c r="G575" s="4" t="n">
        <v>1578</v>
      </c>
    </row>
    <row r="576">
      <c r="A576" s="6" t="inlineStr">
        <is>
          <t>OBRA C/IBIZA, ASPE (CASA CABO)</t>
        </is>
      </c>
      <c r="B576" s="6" t="inlineStr">
        <is>
          <t>385,00</t>
        </is>
      </c>
      <c r="C576" s="6" t="inlineStr"/>
      <c r="D576" s="6" t="inlineStr">
        <is>
          <t>PARQUET</t>
        </is>
      </c>
      <c r="E576" s="6" t="inlineStr"/>
      <c r="F576" s="6" t="inlineStr">
        <is>
          <t>SIN IMPUTAR</t>
        </is>
      </c>
      <c r="G576" s="4" t="n">
        <v>1536.99</v>
      </c>
    </row>
    <row r="577">
      <c r="A577" s="6" t="inlineStr">
        <is>
          <t>OBRA C/IBIZA, ASPE (CASA CABO)</t>
        </is>
      </c>
      <c r="B577" s="6" t="inlineStr">
        <is>
          <t>394,00</t>
        </is>
      </c>
      <c r="C577" s="6" t="inlineStr"/>
      <c r="D577" s="6" t="inlineStr">
        <is>
          <t>PARQUET</t>
        </is>
      </c>
      <c r="E577" s="6" t="inlineStr"/>
      <c r="F577" s="6" t="inlineStr">
        <is>
          <t>SIN IMPUTAR</t>
        </is>
      </c>
      <c r="G577" s="4" t="n">
        <v>1536.98</v>
      </c>
    </row>
    <row r="578">
      <c r="A578" s="6" t="inlineStr">
        <is>
          <t>OBRA C/IBIZA, ASPE (CASA CABO)</t>
        </is>
      </c>
      <c r="B578" s="6" t="inlineStr">
        <is>
          <t>436,00</t>
        </is>
      </c>
      <c r="C578" s="6" t="inlineStr"/>
      <c r="D578" s="6" t="inlineStr">
        <is>
          <t>BOMBEO FRATASADO</t>
        </is>
      </c>
      <c r="E578" s="6" t="inlineStr"/>
      <c r="F578" s="6" t="inlineStr">
        <is>
          <t>SIN IMPUTAR</t>
        </is>
      </c>
      <c r="G578" s="4" t="n">
        <v>1455.3</v>
      </c>
    </row>
    <row r="579">
      <c r="A579" s="6" t="inlineStr">
        <is>
          <t>OBRA C/IBIZA, ASPE (CASA CABO)</t>
        </is>
      </c>
      <c r="B579" s="6" t="inlineStr">
        <is>
          <t>101,00</t>
        </is>
      </c>
      <c r="C579" s="6" t="inlineStr"/>
      <c r="D579" s="6" t="inlineStr">
        <is>
          <t>PRESUPUESTO 2025/13</t>
        </is>
      </c>
      <c r="E579" s="6" t="inlineStr"/>
      <c r="F579" s="6" t="inlineStr">
        <is>
          <t>SIN IMPUTAR</t>
        </is>
      </c>
      <c r="G579" s="4" t="n">
        <v>1410</v>
      </c>
    </row>
    <row r="580">
      <c r="A580" s="6" t="inlineStr">
        <is>
          <t>OBRA C/IBIZA, ASPE (CASA CABO)</t>
        </is>
      </c>
      <c r="B580" s="6" t="inlineStr">
        <is>
          <t>292,00</t>
        </is>
      </c>
      <c r="C580" s="6" t="inlineStr"/>
      <c r="D580" s="6" t="inlineStr">
        <is>
          <t>GRIFERIA SANITARIO</t>
        </is>
      </c>
      <c r="E580" s="6" t="inlineStr">
        <is>
          <t>SALTOKI ALICANTE SL.</t>
        </is>
      </c>
      <c r="F580" s="6" t="inlineStr">
        <is>
          <t>SIN IMPUTAR</t>
        </is>
      </c>
      <c r="G580" s="4" t="n">
        <v>1373.57</v>
      </c>
    </row>
    <row r="581">
      <c r="A581" s="6" t="inlineStr">
        <is>
          <t>OBRA C/IBIZA, ASPE (CASA CABO)</t>
        </is>
      </c>
      <c r="B581" s="6" t="inlineStr">
        <is>
          <t>275,00</t>
        </is>
      </c>
      <c r="C581" s="6" t="inlineStr"/>
      <c r="D581" s="6" t="inlineStr">
        <is>
          <t>GRUA</t>
        </is>
      </c>
      <c r="E581" s="6" t="inlineStr"/>
      <c r="F581" s="6" t="inlineStr">
        <is>
          <t>SIN IMPUTAR</t>
        </is>
      </c>
      <c r="G581" s="4" t="n">
        <v>1357.5</v>
      </c>
    </row>
    <row r="582">
      <c r="A582" s="6" t="inlineStr">
        <is>
          <t>OBRA C/IBIZA, ASPE (CASA CABO)</t>
        </is>
      </c>
      <c r="B582" s="6" t="inlineStr">
        <is>
          <t>290,00</t>
        </is>
      </c>
      <c r="C582" s="6" t="inlineStr"/>
      <c r="D582" s="6" t="inlineStr">
        <is>
          <t>ALQUILER ANDAMIO</t>
        </is>
      </c>
      <c r="E582" s="6" t="inlineStr"/>
      <c r="F582" s="6" t="inlineStr">
        <is>
          <t>SIN IMPUTAR</t>
        </is>
      </c>
      <c r="G582" s="4" t="n">
        <v>1350</v>
      </c>
    </row>
    <row r="583">
      <c r="A583" s="6" t="inlineStr">
        <is>
          <t>OBRA C/IBIZA, ASPE (CASA CABO)</t>
        </is>
      </c>
      <c r="B583" s="6" t="inlineStr">
        <is>
          <t>36,00</t>
        </is>
      </c>
      <c r="C583" s="6" t="inlineStr"/>
      <c r="D583" s="6" t="inlineStr">
        <is>
          <t>SERVICIO GRUA</t>
        </is>
      </c>
      <c r="E583" s="6" t="inlineStr">
        <is>
          <t>GRUAS Y MAQUINARIA PETREL SL</t>
        </is>
      </c>
      <c r="F583" s="6" t="inlineStr">
        <is>
          <t>SIN IMPUTAR</t>
        </is>
      </c>
      <c r="G583" s="4" t="n">
        <v>1120</v>
      </c>
    </row>
    <row r="584">
      <c r="A584" s="6" t="inlineStr">
        <is>
          <t>OBRA C/IBIZA, ASPE (CASA CABO)</t>
        </is>
      </c>
      <c r="B584" s="6" t="inlineStr">
        <is>
          <t>58,00</t>
        </is>
      </c>
      <c r="C584" s="6" t="inlineStr"/>
      <c r="D584" s="6" t="inlineStr">
        <is>
          <t>SERVICIOS VARIOS</t>
        </is>
      </c>
      <c r="E584" s="6" t="inlineStr"/>
      <c r="F584" s="6" t="inlineStr">
        <is>
          <t>SIN IMPUTAR</t>
        </is>
      </c>
      <c r="G584" s="4" t="n">
        <v>1056.45</v>
      </c>
    </row>
    <row r="585">
      <c r="A585" s="6" t="inlineStr">
        <is>
          <t>OBRA C/IBIZA, ASPE (CASA CABO)</t>
        </is>
      </c>
      <c r="B585" s="6" t="inlineStr">
        <is>
          <t>486,00</t>
        </is>
      </c>
      <c r="C585" s="6" t="inlineStr"/>
      <c r="D585" s="6" t="inlineStr">
        <is>
          <t>PINTURAS DIAL</t>
        </is>
      </c>
      <c r="E585" s="6" t="inlineStr"/>
      <c r="F585" s="6" t="inlineStr">
        <is>
          <t>SIN IMPUTAR</t>
        </is>
      </c>
      <c r="G585" s="4" t="n">
        <v>1020</v>
      </c>
    </row>
    <row r="586">
      <c r="A586" s="6" t="inlineStr">
        <is>
          <t>OBRA C/IBIZA, ASPE (CASA CABO)</t>
        </is>
      </c>
      <c r="B586" s="6" t="inlineStr">
        <is>
          <t>176,00</t>
        </is>
      </c>
      <c r="C586" s="6" t="inlineStr"/>
      <c r="D586" s="6" t="inlineStr">
        <is>
          <t>HORMIGÓN 24002</t>
        </is>
      </c>
      <c r="E586" s="6" t="inlineStr"/>
      <c r="F586" s="6" t="inlineStr">
        <is>
          <t>SIN IMPUTAR</t>
        </is>
      </c>
      <c r="G586" s="4" t="n">
        <v>994.75</v>
      </c>
    </row>
    <row r="587">
      <c r="A587" s="6" t="inlineStr">
        <is>
          <t>OBRA C/IBIZA, ASPE (CASA CABO)</t>
        </is>
      </c>
      <c r="B587" s="6" t="inlineStr">
        <is>
          <t>169,00</t>
        </is>
      </c>
      <c r="C587" s="6" t="inlineStr"/>
      <c r="D587" s="6" t="inlineStr">
        <is>
          <t>GRAPAMAR</t>
        </is>
      </c>
      <c r="E587" s="6" t="inlineStr"/>
      <c r="F587" s="6" t="inlineStr">
        <is>
          <t>SIN IMPUTAR</t>
        </is>
      </c>
      <c r="G587" s="4" t="n">
        <v>981.14</v>
      </c>
    </row>
    <row r="588">
      <c r="A588" s="6" t="inlineStr">
        <is>
          <t>OBRA C/IBIZA, ASPE (CASA CABO)</t>
        </is>
      </c>
      <c r="B588" s="6" t="inlineStr">
        <is>
          <t>20,00</t>
        </is>
      </c>
      <c r="C588" s="6" t="inlineStr"/>
      <c r="D588" s="6" t="inlineStr">
        <is>
          <t>MATERIALES VARIOS</t>
        </is>
      </c>
      <c r="E588" s="6" t="inlineStr"/>
      <c r="F588" s="6" t="inlineStr">
        <is>
          <t>SIN IMPUTAR</t>
        </is>
      </c>
      <c r="G588" s="4" t="n">
        <v>979.5700000000001</v>
      </c>
    </row>
    <row r="589">
      <c r="A589" s="6" t="inlineStr">
        <is>
          <t>OBRA C/IBIZA, ASPE (CASA CABO)</t>
        </is>
      </c>
      <c r="B589" s="6" t="inlineStr">
        <is>
          <t>261,00</t>
        </is>
      </c>
      <c r="C589" s="6" t="inlineStr"/>
      <c r="D589" s="6" t="inlineStr">
        <is>
          <t>CEMENTO COLA</t>
        </is>
      </c>
      <c r="E589" s="6" t="inlineStr"/>
      <c r="F589" s="6" t="inlineStr">
        <is>
          <t>SIN IMPUTAR</t>
        </is>
      </c>
      <c r="G589" s="4" t="n">
        <v>975.29</v>
      </c>
    </row>
    <row r="590">
      <c r="A590" s="6" t="inlineStr">
        <is>
          <t>OBRA C/IBIZA, ASPE (CASA CABO)</t>
        </is>
      </c>
      <c r="B590" s="6" t="inlineStr">
        <is>
          <t>133,00</t>
        </is>
      </c>
      <c r="C590" s="6" t="inlineStr"/>
      <c r="D590" s="6" t="inlineStr">
        <is>
          <t>CONTENEDOR</t>
        </is>
      </c>
      <c r="E590" s="6" t="inlineStr"/>
      <c r="F590" s="6" t="inlineStr">
        <is>
          <t>SIN IMPUTAR</t>
        </is>
      </c>
      <c r="G590" s="4" t="n">
        <v>920</v>
      </c>
    </row>
    <row r="591">
      <c r="A591" s="6" t="inlineStr">
        <is>
          <t>OBRA C/IBIZA, ASPE (CASA CABO)</t>
        </is>
      </c>
      <c r="B591" s="6" t="inlineStr">
        <is>
          <t>173,00</t>
        </is>
      </c>
      <c r="C591" s="6" t="inlineStr"/>
      <c r="D591" s="6" t="inlineStr">
        <is>
          <t>MONOLITO PIEDRA</t>
        </is>
      </c>
      <c r="E591" s="6" t="inlineStr"/>
      <c r="F591" s="6" t="inlineStr">
        <is>
          <t>SIN IMPUTAR</t>
        </is>
      </c>
      <c r="G591" s="4" t="n">
        <v>900</v>
      </c>
    </row>
    <row r="592">
      <c r="A592" s="6" t="inlineStr">
        <is>
          <t>OBRA C/IBIZA, ASPE (CASA CABO)</t>
        </is>
      </c>
      <c r="B592" s="6" t="inlineStr">
        <is>
          <t>263,00</t>
        </is>
      </c>
      <c r="C592" s="6" t="inlineStr"/>
      <c r="D592" s="6" t="inlineStr">
        <is>
          <t>PUMA EXTRA FINO</t>
        </is>
      </c>
      <c r="E592" s="6" t="inlineStr"/>
      <c r="F592" s="6" t="inlineStr">
        <is>
          <t>SIN IMPUTAR</t>
        </is>
      </c>
      <c r="G592" s="4" t="n">
        <v>898.4</v>
      </c>
    </row>
    <row r="593">
      <c r="A593" s="6" t="inlineStr">
        <is>
          <t>OBRA C/IBIZA, ASPE (CASA CABO)</t>
        </is>
      </c>
      <c r="B593" s="6" t="inlineStr">
        <is>
          <t>257,00</t>
        </is>
      </c>
      <c r="C593" s="6" t="inlineStr"/>
      <c r="D593" s="6" t="inlineStr">
        <is>
          <t>HIERRO VALLA</t>
        </is>
      </c>
      <c r="E593" s="6" t="inlineStr"/>
      <c r="F593" s="6" t="inlineStr">
        <is>
          <t>SIN IMPUTAR</t>
        </is>
      </c>
      <c r="G593" s="4" t="n">
        <v>892.5</v>
      </c>
    </row>
    <row r="594">
      <c r="A594" s="6" t="inlineStr">
        <is>
          <t>OBRA C/IBIZA, ASPE (CASA CABO)</t>
        </is>
      </c>
      <c r="B594" s="6" t="inlineStr">
        <is>
          <t>145,00</t>
        </is>
      </c>
      <c r="C594" s="6" t="inlineStr"/>
      <c r="D594" s="6" t="inlineStr">
        <is>
          <t>REJILLA LINEAL REVESTCH</t>
        </is>
      </c>
      <c r="E594" s="6" t="inlineStr"/>
      <c r="F594" s="6" t="inlineStr">
        <is>
          <t>SIN IMPUTAR</t>
        </is>
      </c>
      <c r="G594" s="4" t="n">
        <v>889.97</v>
      </c>
    </row>
    <row r="595">
      <c r="A595" s="6" t="inlineStr">
        <is>
          <t>OBRA C/IBIZA, ASPE (CASA CABO)</t>
        </is>
      </c>
      <c r="B595" s="6" t="inlineStr">
        <is>
          <t>143,00</t>
        </is>
      </c>
      <c r="C595" s="6" t="inlineStr"/>
      <c r="D595" s="6" t="inlineStr">
        <is>
          <t>LORENZO BOMBA</t>
        </is>
      </c>
      <c r="E595" s="6" t="inlineStr"/>
      <c r="F595" s="6" t="inlineStr">
        <is>
          <t>SIN IMPUTAR</t>
        </is>
      </c>
      <c r="G595" s="4" t="n">
        <v>841.5</v>
      </c>
    </row>
    <row r="596">
      <c r="A596" s="6" t="inlineStr">
        <is>
          <t>OBRA C/IBIZA, ASPE (CASA CABO)</t>
        </is>
      </c>
      <c r="B596" s="6" t="inlineStr">
        <is>
          <t>285,00</t>
        </is>
      </c>
      <c r="C596" s="6" t="inlineStr"/>
      <c r="D596" s="6" t="inlineStr">
        <is>
          <t>ZUNCHO CEMENTO</t>
        </is>
      </c>
      <c r="E596" s="6" t="inlineStr"/>
      <c r="F596" s="6" t="inlineStr">
        <is>
          <t>SIN IMPUTAR</t>
        </is>
      </c>
      <c r="G596" s="4" t="n">
        <v>838.38</v>
      </c>
    </row>
    <row r="597">
      <c r="A597" s="6" t="inlineStr">
        <is>
          <t>OBRA C/IBIZA, ASPE (CASA CABO)</t>
        </is>
      </c>
      <c r="B597" s="6" t="inlineStr">
        <is>
          <t>182,00</t>
        </is>
      </c>
      <c r="C597" s="6" t="inlineStr"/>
      <c r="D597" s="6" t="inlineStr">
        <is>
          <t>REPISAS VENTANAS</t>
        </is>
      </c>
      <c r="E597" s="6" t="inlineStr"/>
      <c r="F597" s="6" t="inlineStr">
        <is>
          <t>SIN IMPUTAR</t>
        </is>
      </c>
      <c r="G597" s="4" t="n">
        <v>803.21</v>
      </c>
    </row>
    <row r="598">
      <c r="A598" s="6" t="inlineStr">
        <is>
          <t>OBRA C/IBIZA, ASPE (CASA CABO)</t>
        </is>
      </c>
      <c r="B598" s="6" t="inlineStr">
        <is>
          <t>274,00</t>
        </is>
      </c>
      <c r="C598" s="6" t="inlineStr"/>
      <c r="D598" s="6" t="inlineStr">
        <is>
          <t>HORAS MINI</t>
        </is>
      </c>
      <c r="E598" s="6" t="inlineStr">
        <is>
          <t>TREXGRUCO SL.</t>
        </is>
      </c>
      <c r="F598" s="6" t="inlineStr">
        <is>
          <t>SIN IMPUTAR</t>
        </is>
      </c>
      <c r="G598" s="4" t="n">
        <v>793</v>
      </c>
    </row>
    <row r="599">
      <c r="A599" s="6" t="inlineStr">
        <is>
          <t>OBRA C/IBIZA, ASPE (CASA CABO)</t>
        </is>
      </c>
      <c r="B599" s="6" t="inlineStr">
        <is>
          <t>472,00</t>
        </is>
      </c>
      <c r="C599" s="6" t="inlineStr"/>
      <c r="D599" s="6" t="inlineStr">
        <is>
          <t>CEMENTO COLA</t>
        </is>
      </c>
      <c r="E599" s="6" t="inlineStr"/>
      <c r="F599" s="6" t="inlineStr">
        <is>
          <t>SIN IMPUTAR</t>
        </is>
      </c>
      <c r="G599" s="4" t="n">
        <v>787.88</v>
      </c>
    </row>
    <row r="600">
      <c r="A600" s="6" t="inlineStr">
        <is>
          <t>OBRA C/IBIZA, ASPE (CASA CABO)</t>
        </is>
      </c>
      <c r="B600" s="6" t="inlineStr">
        <is>
          <t>74,00</t>
        </is>
      </c>
      <c r="C600" s="6" t="inlineStr"/>
      <c r="D600" s="6" t="inlineStr">
        <is>
          <t>WC ACCESORIOS</t>
        </is>
      </c>
      <c r="E600" s="6" t="inlineStr">
        <is>
          <t>SALTOKI ALICANTE SL.</t>
        </is>
      </c>
      <c r="F600" s="6" t="inlineStr">
        <is>
          <t>SIN IMPUTAR</t>
        </is>
      </c>
      <c r="G600" s="4" t="n">
        <v>785.64</v>
      </c>
    </row>
    <row r="601">
      <c r="A601" s="6" t="inlineStr">
        <is>
          <t>OBRA C/IBIZA, ASPE (CASA CABO)</t>
        </is>
      </c>
      <c r="B601" s="6" t="inlineStr">
        <is>
          <t>40,00</t>
        </is>
      </c>
      <c r="C601" s="6" t="inlineStr"/>
      <c r="D601" s="6" t="inlineStr">
        <is>
          <t>TRABAJOS YESO</t>
        </is>
      </c>
      <c r="E601" s="6" t="inlineStr">
        <is>
          <t>JOSE GARCÍA HUESCA</t>
        </is>
      </c>
      <c r="F601" s="6" t="inlineStr">
        <is>
          <t>SIN IMPUTAR</t>
        </is>
      </c>
      <c r="G601" s="4" t="n">
        <v>765</v>
      </c>
    </row>
    <row r="602">
      <c r="A602" s="6" t="inlineStr">
        <is>
          <t>OBRA C/IBIZA, ASPE (CASA CABO)</t>
        </is>
      </c>
      <c r="B602" s="6" t="inlineStr">
        <is>
          <t>226,00</t>
        </is>
      </c>
      <c r="C602" s="6" t="inlineStr"/>
      <c r="D602" s="6" t="inlineStr">
        <is>
          <t>MATERIAL</t>
        </is>
      </c>
      <c r="E602" s="6" t="inlineStr"/>
      <c r="F602" s="6" t="inlineStr">
        <is>
          <t>SIN IMPUTAR</t>
        </is>
      </c>
      <c r="G602" s="4" t="n">
        <v>758.25</v>
      </c>
    </row>
    <row r="603">
      <c r="A603" s="6" t="inlineStr">
        <is>
          <t>OBRA C/IBIZA, ASPE (CASA CABO)</t>
        </is>
      </c>
      <c r="B603" s="6" t="inlineStr">
        <is>
          <t>9,00</t>
        </is>
      </c>
      <c r="C603" s="6" t="inlineStr"/>
      <c r="D603" s="6" t="inlineStr">
        <is>
          <t>PORTES Y SERVICIO GRÚA</t>
        </is>
      </c>
      <c r="E603" s="6" t="inlineStr"/>
      <c r="F603" s="6" t="inlineStr">
        <is>
          <t>SIN IMPUTAR</t>
        </is>
      </c>
      <c r="G603" s="4" t="n">
        <v>750</v>
      </c>
    </row>
    <row r="604">
      <c r="A604" s="6" t="inlineStr">
        <is>
          <t>OBRA C/IBIZA, ASPE (CASA CABO)</t>
        </is>
      </c>
      <c r="B604" s="6" t="inlineStr">
        <is>
          <t>372,00</t>
        </is>
      </c>
      <c r="C604" s="6" t="inlineStr"/>
      <c r="D604" s="6" t="inlineStr">
        <is>
          <t>ENCIMERA VERONA</t>
        </is>
      </c>
      <c r="E604" s="6" t="inlineStr"/>
      <c r="F604" s="6" t="inlineStr">
        <is>
          <t>SIN IMPUTAR</t>
        </is>
      </c>
      <c r="G604" s="4" t="n">
        <v>735</v>
      </c>
    </row>
    <row r="605">
      <c r="A605" s="6" t="inlineStr">
        <is>
          <t>OBRA C/IBIZA, ASPE (CASA CABO)</t>
        </is>
      </c>
      <c r="B605" s="6" t="inlineStr">
        <is>
          <t>251,00</t>
        </is>
      </c>
      <c r="C605" s="6" t="inlineStr"/>
      <c r="D605" s="6" t="inlineStr">
        <is>
          <t>PUMA EXTRA FINO</t>
        </is>
      </c>
      <c r="E605" s="6" t="inlineStr"/>
      <c r="F605" s="6" t="inlineStr">
        <is>
          <t>SIN IMPUTAR</t>
        </is>
      </c>
      <c r="G605" s="4" t="n">
        <v>718.72</v>
      </c>
    </row>
    <row r="606">
      <c r="A606" s="6" t="inlineStr">
        <is>
          <t>OBRA C/IBIZA, ASPE (CASA CABO)</t>
        </is>
      </c>
      <c r="B606" s="6" t="inlineStr">
        <is>
          <t>115,00</t>
        </is>
      </c>
      <c r="C606" s="6" t="inlineStr"/>
      <c r="D606" s="6" t="inlineStr">
        <is>
          <t>RETIRADA RESIDUOS</t>
        </is>
      </c>
      <c r="E606" s="6" t="inlineStr"/>
      <c r="F606" s="6" t="inlineStr">
        <is>
          <t>SIN IMPUTAR</t>
        </is>
      </c>
      <c r="G606" s="4" t="n">
        <v>690</v>
      </c>
    </row>
    <row r="607">
      <c r="A607" s="6" t="inlineStr">
        <is>
          <t>OBRA C/IBIZA, ASPE (CASA CABO)</t>
        </is>
      </c>
      <c r="B607" s="6" t="inlineStr">
        <is>
          <t>43,00</t>
        </is>
      </c>
      <c r="C607" s="6" t="inlineStr"/>
      <c r="D607" s="6" t="inlineStr">
        <is>
          <t>REPOSTAJE GASOLINA</t>
        </is>
      </c>
      <c r="E607" s="6" t="inlineStr"/>
      <c r="F607" s="6" t="inlineStr">
        <is>
          <t>SIN IMPUTAR</t>
        </is>
      </c>
      <c r="G607" s="4" t="n">
        <v>682.12</v>
      </c>
    </row>
    <row r="608">
      <c r="A608" s="6" t="inlineStr">
        <is>
          <t>OBRA C/IBIZA, ASPE (CASA CABO)</t>
        </is>
      </c>
      <c r="B608" s="6" t="inlineStr">
        <is>
          <t>10,00</t>
        </is>
      </c>
      <c r="C608" s="6" t="inlineStr"/>
      <c r="D608" s="6" t="inlineStr">
        <is>
          <t>PRESUPUESTO 2024/212</t>
        </is>
      </c>
      <c r="E608" s="6" t="inlineStr"/>
      <c r="F608" s="6" t="inlineStr">
        <is>
          <t>SIN IMPUTAR</t>
        </is>
      </c>
      <c r="G608" s="4" t="n">
        <v>660</v>
      </c>
    </row>
    <row r="609">
      <c r="A609" s="6" t="inlineStr">
        <is>
          <t>OBRA C/IBIZA, ASPE (CASA CABO)</t>
        </is>
      </c>
      <c r="B609" s="6" t="inlineStr">
        <is>
          <t>2,00</t>
        </is>
      </c>
      <c r="C609" s="6" t="inlineStr"/>
      <c r="D609" s="6" t="inlineStr">
        <is>
          <t>BLOWERPROOF LIQUID 10KG</t>
        </is>
      </c>
      <c r="E609" s="6" t="inlineStr">
        <is>
          <t>ALTERMAT DISTRIBUCIONES SOSTENIBLES SL.</t>
        </is>
      </c>
      <c r="F609" s="6" t="inlineStr">
        <is>
          <t>SIN IMPUTAR</t>
        </is>
      </c>
      <c r="G609" s="4" t="n">
        <v>647.84</v>
      </c>
    </row>
    <row r="610">
      <c r="A610" s="6" t="inlineStr">
        <is>
          <t>OBRA C/IBIZA, ASPE (CASA CABO)</t>
        </is>
      </c>
      <c r="B610" s="6" t="inlineStr">
        <is>
          <t>90,00</t>
        </is>
      </c>
      <c r="C610" s="6" t="inlineStr"/>
      <c r="D610" s="6" t="inlineStr">
        <is>
          <t>MATERIAL OBRA</t>
        </is>
      </c>
      <c r="E610" s="6" t="inlineStr"/>
      <c r="F610" s="6" t="inlineStr">
        <is>
          <t>SIN IMPUTAR</t>
        </is>
      </c>
      <c r="G610" s="4" t="n">
        <v>620.55</v>
      </c>
    </row>
    <row r="611">
      <c r="A611" s="6" t="inlineStr">
        <is>
          <t>OBRA C/IBIZA, ASPE (CASA CABO)</t>
        </is>
      </c>
      <c r="B611" s="6" t="inlineStr">
        <is>
          <t>119,00</t>
        </is>
      </c>
      <c r="C611" s="6" t="inlineStr"/>
      <c r="D611" s="6" t="inlineStr">
        <is>
          <t>MATERIAL</t>
        </is>
      </c>
      <c r="E611" s="6" t="inlineStr"/>
      <c r="F611" s="6" t="inlineStr">
        <is>
          <t>SIN IMPUTAR</t>
        </is>
      </c>
      <c r="G611" s="4" t="n">
        <v>577.62</v>
      </c>
    </row>
    <row r="612">
      <c r="A612" s="6" t="inlineStr">
        <is>
          <t>OBRA C/IBIZA, ASPE (CASA CABO)</t>
        </is>
      </c>
      <c r="B612" s="6" t="inlineStr">
        <is>
          <t>1.659,00</t>
        </is>
      </c>
      <c r="C612" s="6" t="inlineStr"/>
      <c r="D612" s="6" t="inlineStr">
        <is>
          <t>ENSAYO BLOWER DOOR FINAL DE OBRA</t>
        </is>
      </c>
      <c r="E612" s="6" t="inlineStr">
        <is>
          <t>ALTERMAT DISTRIBUCIONES SOSTENIBLES SL.</t>
        </is>
      </c>
      <c r="F612" s="6" t="inlineStr">
        <is>
          <t>SIN IMPUTAR</t>
        </is>
      </c>
      <c r="G612" s="4" t="n">
        <v>575.7</v>
      </c>
    </row>
    <row r="613">
      <c r="A613" s="6" t="inlineStr">
        <is>
          <t>OBRA C/IBIZA, ASPE (CASA CABO)</t>
        </is>
      </c>
      <c r="B613" s="6" t="inlineStr">
        <is>
          <t>441,00</t>
        </is>
      </c>
      <c r="C613" s="6" t="inlineStr"/>
      <c r="D613" s="6" t="inlineStr">
        <is>
          <t>MORECEM ESTUCO</t>
        </is>
      </c>
      <c r="E613" s="6" t="inlineStr"/>
      <c r="F613" s="6" t="inlineStr">
        <is>
          <t>SIN IMPUTAR</t>
        </is>
      </c>
      <c r="G613" s="4" t="n">
        <v>561.5</v>
      </c>
    </row>
    <row r="614">
      <c r="A614" s="6" t="inlineStr">
        <is>
          <t>OBRA C/IBIZA, ASPE (CASA CABO)</t>
        </is>
      </c>
      <c r="B614" s="6" t="inlineStr">
        <is>
          <t>234,00</t>
        </is>
      </c>
      <c r="C614" s="6" t="inlineStr"/>
      <c r="D614" s="6" t="inlineStr">
        <is>
          <t>GRÚAS</t>
        </is>
      </c>
      <c r="E614" s="6" t="inlineStr">
        <is>
          <t>GRUAS Y MAQUINARIA PETREL SL</t>
        </is>
      </c>
      <c r="F614" s="6" t="inlineStr">
        <is>
          <t>SIN IMPUTAR</t>
        </is>
      </c>
      <c r="G614" s="4" t="n">
        <v>560</v>
      </c>
    </row>
    <row r="615">
      <c r="A615" s="6" t="inlineStr">
        <is>
          <t>OBRA C/IBIZA, ASPE (CASA CABO)</t>
        </is>
      </c>
      <c r="B615" s="6" t="inlineStr">
        <is>
          <t>395,00</t>
        </is>
      </c>
      <c r="C615" s="6" t="inlineStr"/>
      <c r="D615" s="6" t="inlineStr">
        <is>
          <t>BLOWERPROOF LIQUID</t>
        </is>
      </c>
      <c r="E615" s="6" t="inlineStr">
        <is>
          <t>ALTERMAT DISTRIBUCIONES SOSTENIBLES SL.</t>
        </is>
      </c>
      <c r="F615" s="6" t="inlineStr">
        <is>
          <t>SIN IMPUTAR</t>
        </is>
      </c>
      <c r="G615" s="4" t="n">
        <v>553.2</v>
      </c>
    </row>
    <row r="616">
      <c r="A616" s="6" t="inlineStr">
        <is>
          <t>OBRA C/IBIZA, ASPE (CASA CABO)</t>
        </is>
      </c>
      <c r="B616" s="6" t="inlineStr">
        <is>
          <t>396,00</t>
        </is>
      </c>
      <c r="C616" s="6" t="inlineStr"/>
      <c r="D616" s="6" t="inlineStr">
        <is>
          <t>ENSAYO</t>
        </is>
      </c>
      <c r="E616" s="6" t="inlineStr">
        <is>
          <t>ALTERMAT DISTRIBUCIONES SOSTENIBLES SL.</t>
        </is>
      </c>
      <c r="F616" s="6" t="inlineStr">
        <is>
          <t>SIN IMPUTAR</t>
        </is>
      </c>
      <c r="G616" s="4" t="n">
        <v>550.34</v>
      </c>
    </row>
    <row r="617">
      <c r="A617" s="6" t="inlineStr">
        <is>
          <t>OBRA C/IBIZA, ASPE (CASA CABO)</t>
        </is>
      </c>
      <c r="B617" s="6" t="inlineStr">
        <is>
          <t>3,00</t>
        </is>
      </c>
      <c r="C617" s="6" t="inlineStr"/>
      <c r="D617" s="6" t="inlineStr">
        <is>
          <t>MATERIALES VARIOS</t>
        </is>
      </c>
      <c r="E617" s="6" t="inlineStr">
        <is>
          <t>YESOS RUBIO Y DERIVADOS SL.</t>
        </is>
      </c>
      <c r="F617" s="6" t="inlineStr">
        <is>
          <t>SIN IMPUTAR</t>
        </is>
      </c>
      <c r="G617" s="4" t="n">
        <v>540.6900000000001</v>
      </c>
    </row>
    <row r="618">
      <c r="A618" s="6" t="inlineStr">
        <is>
          <t>OBRA C/IBIZA, ASPE (CASA CABO)</t>
        </is>
      </c>
      <c r="B618" s="6" t="inlineStr">
        <is>
          <t>200,00</t>
        </is>
      </c>
      <c r="C618" s="6" t="inlineStr"/>
      <c r="D618" s="6" t="inlineStr">
        <is>
          <t>MATERIAL</t>
        </is>
      </c>
      <c r="E618" s="6" t="inlineStr"/>
      <c r="F618" s="6" t="inlineStr">
        <is>
          <t>SIN IMPUTAR</t>
        </is>
      </c>
      <c r="G618" s="4" t="n">
        <v>533.42</v>
      </c>
    </row>
    <row r="619">
      <c r="A619" s="6" t="inlineStr">
        <is>
          <t>OBRA C/IBIZA, ASPE (CASA CABO)</t>
        </is>
      </c>
      <c r="B619" s="6" t="inlineStr">
        <is>
          <t>252,00</t>
        </is>
      </c>
      <c r="C619" s="6" t="inlineStr"/>
      <c r="D619" s="6" t="inlineStr">
        <is>
          <t>GRUAS</t>
        </is>
      </c>
      <c r="E619" s="6" t="inlineStr">
        <is>
          <t>GRUAS Y MAQUINARIA PETREL SL</t>
        </is>
      </c>
      <c r="F619" s="6" t="inlineStr">
        <is>
          <t>SIN IMPUTAR</t>
        </is>
      </c>
      <c r="G619" s="4" t="n">
        <v>525</v>
      </c>
    </row>
    <row r="620">
      <c r="A620" s="6" t="inlineStr">
        <is>
          <t>OBRA C/IBIZA, ASPE (CASA CABO)</t>
        </is>
      </c>
      <c r="B620" s="6" t="inlineStr">
        <is>
          <t>76,00</t>
        </is>
      </c>
      <c r="C620" s="6" t="inlineStr"/>
      <c r="D620" s="6" t="inlineStr">
        <is>
          <t>BASTIDORES WC</t>
        </is>
      </c>
      <c r="E620" s="6" t="inlineStr">
        <is>
          <t>SALTOKI ALICANTE SL.</t>
        </is>
      </c>
      <c r="F620" s="6" t="inlineStr">
        <is>
          <t>SIN IMPUTAR</t>
        </is>
      </c>
      <c r="G620" s="4" t="n">
        <v>513.5700000000001</v>
      </c>
    </row>
    <row r="621">
      <c r="A621" s="6" t="inlineStr">
        <is>
          <t>OBRA C/IBIZA, ASPE (CASA CABO)</t>
        </is>
      </c>
      <c r="B621" s="6" t="inlineStr">
        <is>
          <t>52,00</t>
        </is>
      </c>
      <c r="C621" s="6" t="inlineStr"/>
      <c r="D621" s="6" t="inlineStr">
        <is>
          <t>TRABAJOS HORMIGÓN</t>
        </is>
      </c>
      <c r="E621" s="6" t="inlineStr"/>
      <c r="F621" s="6" t="inlineStr">
        <is>
          <t>SIN IMPUTAR</t>
        </is>
      </c>
      <c r="G621" s="4" t="n">
        <v>501</v>
      </c>
    </row>
    <row r="622">
      <c r="A622" s="6" t="inlineStr">
        <is>
          <t>OBRA C/IBIZA, ASPE (CASA CABO)</t>
        </is>
      </c>
      <c r="B622" s="6" t="inlineStr">
        <is>
          <t>323,00</t>
        </is>
      </c>
      <c r="C622" s="6" t="inlineStr"/>
      <c r="D622" s="6" t="inlineStr">
        <is>
          <t>REPASO VIVIENDA PINTURA</t>
        </is>
      </c>
      <c r="E622" s="6" t="inlineStr"/>
      <c r="F622" s="6" t="inlineStr">
        <is>
          <t>SIN IMPUTAR</t>
        </is>
      </c>
      <c r="G622" s="4" t="n">
        <v>500</v>
      </c>
    </row>
    <row r="623">
      <c r="A623" s="6" t="inlineStr">
        <is>
          <t>OBRA C/IBIZA, ASPE (CASA CABO)</t>
        </is>
      </c>
      <c r="B623" s="6" t="inlineStr">
        <is>
          <t>102,00</t>
        </is>
      </c>
      <c r="C623" s="6" t="inlineStr"/>
      <c r="D623" s="6" t="inlineStr">
        <is>
          <t>PORTES Y SERVICIO GRÚA</t>
        </is>
      </c>
      <c r="E623" s="6" t="inlineStr"/>
      <c r="F623" s="6" t="inlineStr">
        <is>
          <t>SIN IMPUTAR</t>
        </is>
      </c>
      <c r="G623" s="4" t="n">
        <v>500</v>
      </c>
    </row>
    <row r="624">
      <c r="A624" s="6" t="inlineStr">
        <is>
          <t>OBRA C/IBIZA, ASPE (CASA CABO)</t>
        </is>
      </c>
      <c r="B624" s="6" t="inlineStr">
        <is>
          <t>376,00</t>
        </is>
      </c>
      <c r="C624" s="6" t="inlineStr"/>
      <c r="D624" s="6" t="inlineStr">
        <is>
          <t>CANAL OCULTA</t>
        </is>
      </c>
      <c r="E624" s="6" t="inlineStr"/>
      <c r="F624" s="6" t="inlineStr">
        <is>
          <t>SIN IMPUTAR</t>
        </is>
      </c>
      <c r="G624" s="4" t="n">
        <v>491.52</v>
      </c>
    </row>
    <row r="625">
      <c r="A625" s="6" t="inlineStr">
        <is>
          <t>OBRA C/IBIZA, ASPE (CASA CABO)</t>
        </is>
      </c>
      <c r="B625" s="6" t="inlineStr">
        <is>
          <t>909,00</t>
        </is>
      </c>
      <c r="C625" s="6" t="inlineStr"/>
      <c r="D625" s="6" t="inlineStr">
        <is>
          <t>PINTURA SÓTANO Y REPASO</t>
        </is>
      </c>
      <c r="E625" s="6" t="inlineStr">
        <is>
          <t>PINTURAS DIAL SL.</t>
        </is>
      </c>
      <c r="F625" s="6" t="inlineStr">
        <is>
          <t>SIN IMPUTAR</t>
        </is>
      </c>
      <c r="G625" s="4" t="n">
        <v>480</v>
      </c>
    </row>
    <row r="626">
      <c r="A626" s="6" t="inlineStr">
        <is>
          <t>OBRA C/IBIZA, ASPE (CASA CABO)</t>
        </is>
      </c>
      <c r="B626" s="6" t="inlineStr">
        <is>
          <t>225,00</t>
        </is>
      </c>
      <c r="C626" s="6" t="inlineStr"/>
      <c r="D626" s="6" t="inlineStr">
        <is>
          <t>AZULEJO</t>
        </is>
      </c>
      <c r="E626" s="6" t="inlineStr">
        <is>
          <t>FAJOVI SL</t>
        </is>
      </c>
      <c r="F626" s="6" t="inlineStr">
        <is>
          <t>SIN IMPUTAR</t>
        </is>
      </c>
      <c r="G626" s="4" t="n">
        <v>475.16</v>
      </c>
    </row>
    <row r="627">
      <c r="A627" s="6" t="inlineStr">
        <is>
          <t>OBRA C/IBIZA, ASPE (CASA CABO)</t>
        </is>
      </c>
      <c r="B627" s="6" t="inlineStr">
        <is>
          <t>238,00</t>
        </is>
      </c>
      <c r="C627" s="6" t="inlineStr"/>
      <c r="D627" s="6" t="inlineStr">
        <is>
          <t>ANDAMIO</t>
        </is>
      </c>
      <c r="E627" s="6" t="inlineStr"/>
      <c r="F627" s="6" t="inlineStr">
        <is>
          <t>SIN IMPUTAR</t>
        </is>
      </c>
      <c r="G627" s="4" t="n">
        <v>450</v>
      </c>
    </row>
    <row r="628">
      <c r="A628" s="6" t="inlineStr">
        <is>
          <t>OBRA C/IBIZA, ASPE (CASA CABO)</t>
        </is>
      </c>
      <c r="B628" s="6" t="inlineStr">
        <is>
          <t>21,00</t>
        </is>
      </c>
      <c r="C628" s="6" t="inlineStr"/>
      <c r="D628" s="6" t="inlineStr">
        <is>
          <t>MATERIALES VARIOS</t>
        </is>
      </c>
      <c r="E628" s="6" t="inlineStr"/>
      <c r="F628" s="6" t="inlineStr">
        <is>
          <t>SIN IMPUTAR</t>
        </is>
      </c>
      <c r="G628" s="4" t="n">
        <v>438.74</v>
      </c>
    </row>
    <row r="629">
      <c r="A629" s="6" t="inlineStr">
        <is>
          <t>OBRA C/IBIZA, ASPE (CASA CABO)</t>
        </is>
      </c>
      <c r="B629" s="6" t="inlineStr">
        <is>
          <t>212,00</t>
        </is>
      </c>
      <c r="C629" s="6" t="inlineStr"/>
      <c r="D629" s="6" t="inlineStr">
        <is>
          <t>SIGA Meltell® 310 blanco</t>
        </is>
      </c>
      <c r="E629" s="6" t="inlineStr">
        <is>
          <t>ALTERMAT DISTRIBUCIONES SOSTENIBLES SL.</t>
        </is>
      </c>
      <c r="F629" s="6" t="inlineStr">
        <is>
          <t>SIN IMPUTAR</t>
        </is>
      </c>
      <c r="G629" s="4" t="n">
        <v>423.1</v>
      </c>
    </row>
    <row r="630">
      <c r="A630" s="6" t="inlineStr">
        <is>
          <t>OBRA C/IBIZA, ASPE (CASA CABO)</t>
        </is>
      </c>
      <c r="B630" s="6" t="inlineStr">
        <is>
          <t>161,00</t>
        </is>
      </c>
      <c r="C630" s="6" t="inlineStr"/>
      <c r="D630" s="6" t="inlineStr">
        <is>
          <t>MATERIAL</t>
        </is>
      </c>
      <c r="E630" s="6" t="inlineStr"/>
      <c r="F630" s="6" t="inlineStr">
        <is>
          <t>SIN IMPUTAR</t>
        </is>
      </c>
      <c r="G630" s="4" t="n">
        <v>422.66</v>
      </c>
    </row>
    <row r="631">
      <c r="A631" s="6" t="inlineStr">
        <is>
          <t>OBRA C/IBIZA, ASPE (CASA CABO)</t>
        </is>
      </c>
      <c r="B631" s="6" t="inlineStr">
        <is>
          <t>152,00</t>
        </is>
      </c>
      <c r="C631" s="6" t="inlineStr"/>
      <c r="D631" s="6" t="inlineStr">
        <is>
          <t>MATERIAL OBRA</t>
        </is>
      </c>
      <c r="E631" s="6" t="inlineStr"/>
      <c r="F631" s="6" t="inlineStr">
        <is>
          <t>SIN IMPUTAR</t>
        </is>
      </c>
      <c r="G631" s="4" t="n">
        <v>422.61</v>
      </c>
    </row>
    <row r="632">
      <c r="A632" s="6" t="inlineStr">
        <is>
          <t>OBRA C/IBIZA, ASPE (CASA CABO)</t>
        </is>
      </c>
      <c r="B632" s="6" t="inlineStr">
        <is>
          <t>273,00</t>
        </is>
      </c>
      <c r="C632" s="6" t="inlineStr"/>
      <c r="D632" s="6" t="inlineStr">
        <is>
          <t>SACA ARENA</t>
        </is>
      </c>
      <c r="E632" s="6" t="inlineStr"/>
      <c r="F632" s="6" t="inlineStr">
        <is>
          <t>SIN IMPUTAR</t>
        </is>
      </c>
      <c r="G632" s="4" t="n">
        <v>412.62</v>
      </c>
    </row>
    <row r="633">
      <c r="A633" s="6" t="inlineStr">
        <is>
          <t>OBRA C/IBIZA, ASPE (CASA CABO)</t>
        </is>
      </c>
      <c r="B633" s="6" t="inlineStr">
        <is>
          <t>18,00</t>
        </is>
      </c>
      <c r="C633" s="6" t="inlineStr"/>
      <c r="D633" s="6" t="inlineStr">
        <is>
          <t>MALLA ELECTROSOLDADA</t>
        </is>
      </c>
      <c r="E633" s="6" t="inlineStr"/>
      <c r="F633" s="6" t="inlineStr">
        <is>
          <t>SIN IMPUTAR</t>
        </is>
      </c>
      <c r="G633" s="4" t="n">
        <v>384.71</v>
      </c>
    </row>
    <row r="634">
      <c r="A634" s="6" t="inlineStr">
        <is>
          <t>OBRA C/IBIZA, ASPE (CASA CABO)</t>
        </is>
      </c>
      <c r="B634" s="6" t="inlineStr">
        <is>
          <t>31,00</t>
        </is>
      </c>
      <c r="C634" s="6" t="inlineStr">
        <is>
          <t>05/12/2024</t>
        </is>
      </c>
      <c r="D634" s="6" t="inlineStr">
        <is>
          <t>MATERIALES VARIOS</t>
        </is>
      </c>
      <c r="E634" s="6" t="inlineStr"/>
      <c r="F634" s="6" t="inlineStr">
        <is>
          <t>SIN IMPUTAR</t>
        </is>
      </c>
      <c r="G634" s="4" t="n">
        <v>372.99</v>
      </c>
    </row>
    <row r="635">
      <c r="A635" s="6" t="inlineStr">
        <is>
          <t>OBRA C/IBIZA, ASPE (CASA CABO)</t>
        </is>
      </c>
      <c r="B635" s="6" t="inlineStr">
        <is>
          <t>14,00</t>
        </is>
      </c>
      <c r="C635" s="6" t="inlineStr"/>
      <c r="D635" s="6" t="inlineStr">
        <is>
          <t>MATERIALES VARIOS</t>
        </is>
      </c>
      <c r="E635" s="6" t="inlineStr"/>
      <c r="F635" s="6" t="inlineStr">
        <is>
          <t>SIN IMPUTAR</t>
        </is>
      </c>
      <c r="G635" s="4" t="n">
        <v>372.99</v>
      </c>
    </row>
    <row r="636">
      <c r="A636" s="6" t="inlineStr">
        <is>
          <t>OBRA C/IBIZA, ASPE (CASA CABO)</t>
        </is>
      </c>
      <c r="B636" s="6" t="inlineStr">
        <is>
          <t>495,00</t>
        </is>
      </c>
      <c r="C636" s="6" t="inlineStr"/>
      <c r="D636" s="6" t="inlineStr">
        <is>
          <t>BOX EMPOTRAR DEFINITIVOS</t>
        </is>
      </c>
      <c r="E636" s="6" t="inlineStr">
        <is>
          <t>SALTOKI ALICANTE SL.</t>
        </is>
      </c>
      <c r="F636" s="6" t="inlineStr">
        <is>
          <t>SIN IMPUTAR</t>
        </is>
      </c>
      <c r="G636" s="4" t="n">
        <v>371.26</v>
      </c>
    </row>
    <row r="637">
      <c r="A637" s="6" t="inlineStr">
        <is>
          <t>OBRA C/IBIZA, ASPE (CASA CABO)</t>
        </is>
      </c>
      <c r="B637" s="6" t="inlineStr">
        <is>
          <t>95,00</t>
        </is>
      </c>
      <c r="C637" s="6" t="inlineStr"/>
      <c r="D637" s="6" t="inlineStr">
        <is>
          <t>TELA ASFÁLTICA</t>
        </is>
      </c>
      <c r="E637" s="6" t="inlineStr"/>
      <c r="F637" s="6" t="inlineStr">
        <is>
          <t>SIN IMPUTAR</t>
        </is>
      </c>
      <c r="G637" s="4" t="n">
        <v>363.54</v>
      </c>
    </row>
    <row r="638">
      <c r="A638" s="6" t="inlineStr">
        <is>
          <t>OBRA C/IBIZA, ASPE (CASA CABO)</t>
        </is>
      </c>
      <c r="B638" s="6" t="inlineStr">
        <is>
          <t>284,00</t>
        </is>
      </c>
      <c r="C638" s="6" t="inlineStr"/>
      <c r="D638" s="6" t="inlineStr">
        <is>
          <t>BORDILLO VADO</t>
        </is>
      </c>
      <c r="E638" s="6" t="inlineStr"/>
      <c r="F638" s="6" t="inlineStr">
        <is>
          <t>SIN IMPUTAR</t>
        </is>
      </c>
      <c r="G638" s="4" t="n">
        <v>360.99</v>
      </c>
    </row>
    <row r="639">
      <c r="A639" s="6" t="inlineStr">
        <is>
          <t>OBRA C/IBIZA, ASPE (CASA CABO)</t>
        </is>
      </c>
      <c r="B639" s="6" t="inlineStr">
        <is>
          <t>208,00</t>
        </is>
      </c>
      <c r="C639" s="6" t="inlineStr"/>
      <c r="D639" s="6" t="inlineStr">
        <is>
          <t>ESTRUCTURA MURO METÁLICA</t>
        </is>
      </c>
      <c r="E639" s="6" t="inlineStr"/>
      <c r="F639" s="6" t="inlineStr">
        <is>
          <t>SIN IMPUTAR</t>
        </is>
      </c>
      <c r="G639" s="4" t="n">
        <v>355.4</v>
      </c>
    </row>
    <row r="640">
      <c r="A640" s="6" t="inlineStr">
        <is>
          <t>OBRA C/IBIZA, ASPE (CASA CABO)</t>
        </is>
      </c>
      <c r="B640" s="6" t="inlineStr">
        <is>
          <t>111,00</t>
        </is>
      </c>
      <c r="C640" s="6" t="inlineStr"/>
      <c r="D640" s="6" t="inlineStr">
        <is>
          <t>ALQUILER PERFORADORA</t>
        </is>
      </c>
      <c r="E640" s="6" t="inlineStr"/>
      <c r="F640" s="6" t="inlineStr">
        <is>
          <t>SIN IMPUTAR</t>
        </is>
      </c>
      <c r="G640" s="4" t="n">
        <v>354.32</v>
      </c>
    </row>
    <row r="641">
      <c r="A641" s="6" t="inlineStr">
        <is>
          <t>OBRA C/IBIZA, ASPE (CASA CABO)</t>
        </is>
      </c>
      <c r="B641" s="6" t="inlineStr">
        <is>
          <t>16,00</t>
        </is>
      </c>
      <c r="C641" s="6" t="inlineStr"/>
      <c r="D641" s="6" t="inlineStr">
        <is>
          <t>SERVICIO GRUA</t>
        </is>
      </c>
      <c r="E641" s="6" t="inlineStr">
        <is>
          <t>GRUAS Y MAQUINARIA PETREL SL</t>
        </is>
      </c>
      <c r="F641" s="6" t="inlineStr">
        <is>
          <t>SIN IMPUTAR</t>
        </is>
      </c>
      <c r="G641" s="4" t="n">
        <v>350</v>
      </c>
    </row>
    <row r="642">
      <c r="A642" s="6" t="inlineStr">
        <is>
          <t>OBRA C/IBIZA, ASPE (CASA CABO)</t>
        </is>
      </c>
      <c r="B642" s="6" t="inlineStr">
        <is>
          <t>1.494,00</t>
        </is>
      </c>
      <c r="C642" s="6" t="inlineStr"/>
      <c r="D642" s="6" t="inlineStr">
        <is>
          <t>ESTUDIO DE ESTANQUEIDAD DE CUBIERTA POR RIEGO</t>
        </is>
      </c>
      <c r="E642" s="6" t="inlineStr">
        <is>
          <t>LABORATORIO DE CALIDAD Y TECNOLOGIA DE LOS MATERIALES SL.</t>
        </is>
      </c>
      <c r="F642" s="6" t="inlineStr">
        <is>
          <t>SIN IMPUTAR</t>
        </is>
      </c>
      <c r="G642" s="4" t="n">
        <v>325</v>
      </c>
    </row>
    <row r="643">
      <c r="A643" s="6" t="inlineStr">
        <is>
          <t>OBRA C/IBIZA, ASPE (CASA CABO)</t>
        </is>
      </c>
      <c r="B643" s="6" t="inlineStr">
        <is>
          <t>4,00</t>
        </is>
      </c>
      <c r="C643" s="6" t="inlineStr"/>
      <c r="D643" s="6" t="inlineStr">
        <is>
          <t>TRANSPORTE Y SACAS GRAVIN</t>
        </is>
      </c>
      <c r="E643" s="6" t="inlineStr">
        <is>
          <t>GRUAS Y MAQUINARIA PETREL SL</t>
        </is>
      </c>
      <c r="F643" s="6" t="inlineStr">
        <is>
          <t>SIN IMPUTAR</t>
        </is>
      </c>
      <c r="G643" s="4" t="n">
        <v>322</v>
      </c>
    </row>
    <row r="644">
      <c r="A644" s="6" t="inlineStr">
        <is>
          <t>OBRA C/IBIZA, ASPE (CASA CABO)</t>
        </is>
      </c>
      <c r="B644" s="6" t="inlineStr">
        <is>
          <t>60,00</t>
        </is>
      </c>
      <c r="C644" s="6" t="inlineStr"/>
      <c r="D644" s="6" t="inlineStr">
        <is>
          <t>MATERIALES VARIOS</t>
        </is>
      </c>
      <c r="E644" s="6" t="inlineStr"/>
      <c r="F644" s="6" t="inlineStr">
        <is>
          <t>SIN IMPUTAR</t>
        </is>
      </c>
      <c r="G644" s="4" t="n">
        <v>321.75</v>
      </c>
    </row>
    <row r="645">
      <c r="A645" s="6" t="inlineStr">
        <is>
          <t>OBRA C/IBIZA, ASPE (CASA CABO)</t>
        </is>
      </c>
      <c r="B645" s="6" t="inlineStr">
        <is>
          <t>397,00</t>
        </is>
      </c>
      <c r="C645" s="6" t="inlineStr"/>
      <c r="D645" s="6" t="inlineStr">
        <is>
          <t>SIGA NAIL</t>
        </is>
      </c>
      <c r="E645" s="6" t="inlineStr">
        <is>
          <t>ALTERMAT DISTRIBUCIONES SOSTENIBLES SL.</t>
        </is>
      </c>
      <c r="F645" s="6" t="inlineStr">
        <is>
          <t>SIN IMPUTAR</t>
        </is>
      </c>
      <c r="G645" s="4" t="n">
        <v>310.13</v>
      </c>
    </row>
    <row r="646">
      <c r="A646" s="6" t="inlineStr">
        <is>
          <t>OBRA C/IBIZA, ASPE (CASA CABO)</t>
        </is>
      </c>
      <c r="B646" s="6" t="inlineStr">
        <is>
          <t>140,00</t>
        </is>
      </c>
      <c r="C646" s="6" t="inlineStr"/>
      <c r="D646" s="6" t="inlineStr">
        <is>
          <t>MATERIAL OBRA</t>
        </is>
      </c>
      <c r="E646" s="6" t="inlineStr"/>
      <c r="F646" s="6" t="inlineStr">
        <is>
          <t>SIN IMPUTAR</t>
        </is>
      </c>
      <c r="G646" s="4" t="n">
        <v>299.89</v>
      </c>
    </row>
    <row r="647">
      <c r="A647" s="6" t="inlineStr">
        <is>
          <t>OBRA C/IBIZA, ASPE (CASA CABO)</t>
        </is>
      </c>
      <c r="B647" s="6" t="inlineStr">
        <is>
          <t>219,00</t>
        </is>
      </c>
      <c r="C647" s="6" t="inlineStr"/>
      <c r="D647" s="6" t="inlineStr">
        <is>
          <t>MATERIAL</t>
        </is>
      </c>
      <c r="E647" s="6" t="inlineStr"/>
      <c r="F647" s="6" t="inlineStr">
        <is>
          <t>SIN IMPUTAR</t>
        </is>
      </c>
      <c r="G647" s="4" t="n">
        <v>293.25</v>
      </c>
    </row>
    <row r="648">
      <c r="A648" s="6" t="inlineStr">
        <is>
          <t>OBRA C/IBIZA, ASPE (CASA CABO)</t>
        </is>
      </c>
      <c r="B648" s="6" t="inlineStr">
        <is>
          <t>156,00</t>
        </is>
      </c>
      <c r="C648" s="6" t="inlineStr"/>
      <c r="D648" s="6" t="inlineStr">
        <is>
          <t>GUÍASY PLACAS CORREDERAS</t>
        </is>
      </c>
      <c r="E648" s="6" t="inlineStr"/>
      <c r="F648" s="6" t="inlineStr">
        <is>
          <t>SIN IMPUTAR</t>
        </is>
      </c>
      <c r="G648" s="4" t="n">
        <v>290.8</v>
      </c>
    </row>
    <row r="649">
      <c r="A649" s="6" t="inlineStr">
        <is>
          <t>OBRA C/IBIZA, ASPE (CASA CABO)</t>
        </is>
      </c>
      <c r="B649" s="6" t="inlineStr">
        <is>
          <t>272,00</t>
        </is>
      </c>
      <c r="C649" s="6" t="inlineStr"/>
      <c r="D649" s="6" t="inlineStr">
        <is>
          <t>HORMIGON</t>
        </is>
      </c>
      <c r="E649" s="6" t="inlineStr"/>
      <c r="F649" s="6" t="inlineStr">
        <is>
          <t>SIN IMPUTAR</t>
        </is>
      </c>
      <c r="G649" s="4" t="n">
        <v>289.5</v>
      </c>
    </row>
    <row r="650">
      <c r="A650" s="6" t="inlineStr">
        <is>
          <t>OBRA C/IBIZA, ASPE (CASA CABO)</t>
        </is>
      </c>
      <c r="B650" s="6" t="inlineStr">
        <is>
          <t>141,00</t>
        </is>
      </c>
      <c r="C650" s="6" t="inlineStr"/>
      <c r="D650" s="6" t="inlineStr">
        <is>
          <t>MATERIAL OBRA</t>
        </is>
      </c>
      <c r="E650" s="6" t="inlineStr"/>
      <c r="F650" s="6" t="inlineStr">
        <is>
          <t>SIN IMPUTAR</t>
        </is>
      </c>
      <c r="G650" s="4" t="n">
        <v>286.64</v>
      </c>
    </row>
    <row r="651">
      <c r="A651" s="6" t="inlineStr">
        <is>
          <t>OBRA C/IBIZA, ASPE (CASA CABO)</t>
        </is>
      </c>
      <c r="B651" s="6" t="inlineStr">
        <is>
          <t>1.217,00</t>
        </is>
      </c>
      <c r="C651" s="6" t="inlineStr"/>
      <c r="D651" s="6" t="inlineStr">
        <is>
          <t>MARCO DE ALUMINIO - PASAMANOS DE HIERRO + INSTALACIÓN</t>
        </is>
      </c>
      <c r="E651" s="6" t="inlineStr">
        <is>
          <t>ALEJANDRO CUTILLAS CAÑABATE</t>
        </is>
      </c>
      <c r="F651" s="6" t="inlineStr">
        <is>
          <t>SIN IMPUTAR</t>
        </is>
      </c>
      <c r="G651" s="4" t="n">
        <v>285.5</v>
      </c>
    </row>
    <row r="652">
      <c r="A652" s="6" t="inlineStr">
        <is>
          <t>OBRA C/IBIZA, ASPE (CASA CABO)</t>
        </is>
      </c>
      <c r="B652" s="6" t="inlineStr">
        <is>
          <t>157,00</t>
        </is>
      </c>
      <c r="C652" s="6" t="inlineStr"/>
      <c r="D652" s="6" t="inlineStr">
        <is>
          <t>GRUA</t>
        </is>
      </c>
      <c r="E652" s="6" t="inlineStr">
        <is>
          <t>GRUAS Y MAQUINARIA PETREL SL</t>
        </is>
      </c>
      <c r="F652" s="6" t="inlineStr">
        <is>
          <t>SIN IMPUTAR</t>
        </is>
      </c>
      <c r="G652" s="4" t="n">
        <v>280</v>
      </c>
    </row>
    <row r="653">
      <c r="A653" s="6" t="inlineStr">
        <is>
          <t>OBRA C/IBIZA, ASPE (CASA CABO)</t>
        </is>
      </c>
      <c r="B653" s="6" t="inlineStr">
        <is>
          <t>129,00</t>
        </is>
      </c>
      <c r="C653" s="6" t="inlineStr"/>
      <c r="D653" s="6" t="inlineStr">
        <is>
          <t>GRUA</t>
        </is>
      </c>
      <c r="E653" s="6" t="inlineStr">
        <is>
          <t>GRUAS Y MAQUINARIA PETREL SL</t>
        </is>
      </c>
      <c r="F653" s="6" t="inlineStr">
        <is>
          <t>SIN IMPUTAR</t>
        </is>
      </c>
      <c r="G653" s="4" t="n">
        <v>280</v>
      </c>
    </row>
    <row r="654">
      <c r="A654" s="6" t="inlineStr">
        <is>
          <t>OBRA C/IBIZA, ASPE (CASA CABO)</t>
        </is>
      </c>
      <c r="B654" s="6" t="inlineStr">
        <is>
          <t>25,00</t>
        </is>
      </c>
      <c r="C654" s="6" t="inlineStr"/>
      <c r="D654" s="6" t="inlineStr">
        <is>
          <t>MATERIALES VARIOS</t>
        </is>
      </c>
      <c r="E654" s="6" t="inlineStr">
        <is>
          <t>CAFA CERÁMICA Y BAÑO</t>
        </is>
      </c>
      <c r="F654" s="6" t="inlineStr">
        <is>
          <t>SIN IMPUTAR</t>
        </is>
      </c>
      <c r="G654" s="4" t="n">
        <v>271.5</v>
      </c>
    </row>
    <row r="655">
      <c r="A655" s="6" t="inlineStr">
        <is>
          <t>OBRA C/IBIZA, ASPE (CASA CABO)</t>
        </is>
      </c>
      <c r="B655" s="6" t="inlineStr">
        <is>
          <t>187,00</t>
        </is>
      </c>
      <c r="C655" s="6" t="inlineStr"/>
      <c r="D655" s="6" t="inlineStr">
        <is>
          <t>CAJA MUESTRAS</t>
        </is>
      </c>
      <c r="E655" s="6" t="inlineStr"/>
      <c r="F655" s="6" t="inlineStr">
        <is>
          <t>SIN IMPUTAR</t>
        </is>
      </c>
      <c r="G655" s="4" t="n">
        <v>250.52</v>
      </c>
    </row>
    <row r="656">
      <c r="A656" s="6" t="inlineStr">
        <is>
          <t>OBRA C/IBIZA, ASPE (CASA CABO)</t>
        </is>
      </c>
      <c r="B656" s="6" t="inlineStr">
        <is>
          <t>297,00</t>
        </is>
      </c>
      <c r="C656" s="6" t="inlineStr"/>
      <c r="D656" s="6" t="inlineStr">
        <is>
          <t>ALQUILER</t>
        </is>
      </c>
      <c r="E656" s="6" t="inlineStr"/>
      <c r="F656" s="6" t="inlineStr">
        <is>
          <t>SIN IMPUTAR</t>
        </is>
      </c>
      <c r="G656" s="4" t="n">
        <v>250</v>
      </c>
    </row>
    <row r="657">
      <c r="A657" s="6" t="inlineStr">
        <is>
          <t>OBRA C/IBIZA, ASPE (CASA CABO)</t>
        </is>
      </c>
      <c r="B657" s="6" t="inlineStr">
        <is>
          <t>165,00</t>
        </is>
      </c>
      <c r="C657" s="6" t="inlineStr"/>
      <c r="D657" s="6" t="inlineStr">
        <is>
          <t>ALQUILER</t>
        </is>
      </c>
      <c r="E657" s="6" t="inlineStr"/>
      <c r="F657" s="6" t="inlineStr">
        <is>
          <t>SIN IMPUTAR</t>
        </is>
      </c>
      <c r="G657" s="4" t="n">
        <v>250</v>
      </c>
    </row>
    <row r="658">
      <c r="A658" s="6" t="inlineStr">
        <is>
          <t>OBRA C/IBIZA, ASPE (CASA CABO)</t>
        </is>
      </c>
      <c r="B658" s="6" t="inlineStr">
        <is>
          <t>19,00</t>
        </is>
      </c>
      <c r="C658" s="6" t="inlineStr"/>
      <c r="D658" s="6" t="inlineStr">
        <is>
          <t>SERVICIO GRUA</t>
        </is>
      </c>
      <c r="E658" s="6" t="inlineStr"/>
      <c r="F658" s="6" t="inlineStr">
        <is>
          <t>SIN IMPUTAR</t>
        </is>
      </c>
      <c r="G658" s="4" t="n">
        <v>240.98</v>
      </c>
    </row>
    <row r="659">
      <c r="A659" s="6" t="inlineStr">
        <is>
          <t>OBRA C/IBIZA, ASPE (CASA CABO)</t>
        </is>
      </c>
      <c r="B659" s="6" t="inlineStr">
        <is>
          <t>185,00</t>
        </is>
      </c>
      <c r="C659" s="6" t="inlineStr"/>
      <c r="D659" s="6" t="inlineStr">
        <is>
          <t>HIERROS PASTOR</t>
        </is>
      </c>
      <c r="E659" s="6" t="inlineStr"/>
      <c r="F659" s="6" t="inlineStr">
        <is>
          <t>SIN IMPUTAR</t>
        </is>
      </c>
      <c r="G659" s="4" t="n">
        <v>239.44</v>
      </c>
    </row>
    <row r="660">
      <c r="A660" s="6" t="inlineStr">
        <is>
          <t>OBRA C/IBIZA, ASPE (CASA CABO)</t>
        </is>
      </c>
      <c r="B660" s="6" t="inlineStr">
        <is>
          <t>73,00</t>
        </is>
      </c>
      <c r="C660" s="6" t="inlineStr"/>
      <c r="D660" s="6" t="inlineStr">
        <is>
          <t>WC</t>
        </is>
      </c>
      <c r="E660" s="6" t="inlineStr">
        <is>
          <t>SALTOKI ALICANTE SL.</t>
        </is>
      </c>
      <c r="F660" s="6" t="inlineStr">
        <is>
          <t>SIN IMPUTAR</t>
        </is>
      </c>
      <c r="G660" s="4" t="n">
        <v>231</v>
      </c>
    </row>
    <row r="661">
      <c r="A661" s="6" t="inlineStr">
        <is>
          <t>OBRA C/IBIZA, ASPE (CASA CABO)</t>
        </is>
      </c>
      <c r="B661" s="6" t="inlineStr">
        <is>
          <t>12,00</t>
        </is>
      </c>
      <c r="C661" s="6" t="inlineStr"/>
      <c r="D661" s="6" t="inlineStr">
        <is>
          <t>BLOWERPROOF LIQUID 10 KG</t>
        </is>
      </c>
      <c r="E661" s="6" t="inlineStr">
        <is>
          <t>ALTERMAT DISTRIBUCIONES SOSTENIBLES SL.</t>
        </is>
      </c>
      <c r="F661" s="6" t="inlineStr">
        <is>
          <t>SIN IMPUTAR</t>
        </is>
      </c>
      <c r="G661" s="4" t="n">
        <v>229.28</v>
      </c>
    </row>
    <row r="662">
      <c r="A662" s="6" t="inlineStr">
        <is>
          <t>OBRA C/IBIZA, ASPE (CASA CABO)</t>
        </is>
      </c>
      <c r="B662" s="6" t="inlineStr">
        <is>
          <t>147,00</t>
        </is>
      </c>
      <c r="C662" s="6" t="inlineStr"/>
      <c r="D662" s="6" t="inlineStr">
        <is>
          <t>BLOWERPROOF BRUSH 5KG</t>
        </is>
      </c>
      <c r="E662" s="6" t="inlineStr">
        <is>
          <t>ALTERMAT DISTRIBUCIONES SOSTENIBLES SL.</t>
        </is>
      </c>
      <c r="F662" s="6" t="inlineStr">
        <is>
          <t>SIN IMPUTAR</t>
        </is>
      </c>
      <c r="G662" s="4" t="n">
        <v>227.6</v>
      </c>
    </row>
    <row r="663">
      <c r="A663" s="6" t="inlineStr">
        <is>
          <t>OBRA C/IBIZA, ASPE (CASA CABO)</t>
        </is>
      </c>
      <c r="B663" s="6" t="inlineStr">
        <is>
          <t>78,00</t>
        </is>
      </c>
      <c r="C663" s="6" t="inlineStr"/>
      <c r="D663" s="6" t="inlineStr">
        <is>
          <t>PLAN SEGURIDAD Y SALUD</t>
        </is>
      </c>
      <c r="E663" s="6" t="inlineStr"/>
      <c r="F663" s="6" t="inlineStr">
        <is>
          <t>SIN IMPUTAR</t>
        </is>
      </c>
      <c r="G663" s="4" t="n">
        <v>220</v>
      </c>
    </row>
    <row r="664">
      <c r="A664" s="6" t="inlineStr">
        <is>
          <t>OBRA C/IBIZA, ASPE (CASA CABO)</t>
        </is>
      </c>
      <c r="B664" s="6" t="inlineStr">
        <is>
          <t>279,00</t>
        </is>
      </c>
      <c r="C664" s="6" t="inlineStr"/>
      <c r="D664" s="6" t="inlineStr">
        <is>
          <t>HORMIGON</t>
        </is>
      </c>
      <c r="E664" s="6" t="inlineStr"/>
      <c r="F664" s="6" t="inlineStr">
        <is>
          <t>SIN IMPUTAR</t>
        </is>
      </c>
      <c r="G664" s="4" t="n">
        <v>216.25</v>
      </c>
    </row>
    <row r="665">
      <c r="A665" s="6" t="inlineStr">
        <is>
          <t>OBRA C/IBIZA, ASPE (CASA CABO)</t>
        </is>
      </c>
      <c r="B665" s="6" t="inlineStr">
        <is>
          <t>11,00</t>
        </is>
      </c>
      <c r="C665" s="6" t="inlineStr"/>
      <c r="D665" s="6" t="inlineStr">
        <is>
          <t>BLOWERPROOF BRUSH 5KG</t>
        </is>
      </c>
      <c r="E665" s="6" t="inlineStr">
        <is>
          <t>ALTERMAT DISTRIBUCIONES SOSTENIBLES SL.</t>
        </is>
      </c>
      <c r="F665" s="6" t="inlineStr">
        <is>
          <t>SIN IMPUTAR</t>
        </is>
      </c>
      <c r="G665" s="4" t="n">
        <v>215.4</v>
      </c>
    </row>
    <row r="666">
      <c r="A666" s="6" t="inlineStr">
        <is>
          <t>OBRA C/IBIZA, ASPE (CASA CABO)</t>
        </is>
      </c>
      <c r="B666" s="6" t="inlineStr">
        <is>
          <t>149,00</t>
        </is>
      </c>
      <c r="C666" s="6" t="inlineStr"/>
      <c r="D666" s="6" t="inlineStr">
        <is>
          <t>COLA YTONG CANTONERAS</t>
        </is>
      </c>
      <c r="E666" s="6" t="inlineStr"/>
      <c r="F666" s="6" t="inlineStr">
        <is>
          <t>SIN IMPUTAR</t>
        </is>
      </c>
      <c r="G666" s="4" t="n">
        <v>203.29</v>
      </c>
    </row>
    <row r="667">
      <c r="A667" s="6" t="inlineStr">
        <is>
          <t>OBRA C/IBIZA, ASPE (CASA CABO)</t>
        </is>
      </c>
      <c r="B667" s="6" t="inlineStr">
        <is>
          <t>494,00</t>
        </is>
      </c>
      <c r="C667" s="6" t="inlineStr"/>
      <c r="D667" s="6" t="inlineStr">
        <is>
          <t>BOX EMPOTRAR</t>
        </is>
      </c>
      <c r="E667" s="6" t="inlineStr">
        <is>
          <t>SALTOKI ALICANTE SL.</t>
        </is>
      </c>
      <c r="F667" s="6" t="inlineStr">
        <is>
          <t>SIN IMPUTAR</t>
        </is>
      </c>
      <c r="G667" s="4" t="n">
        <v>196.9</v>
      </c>
    </row>
    <row r="668">
      <c r="A668" s="6" t="inlineStr">
        <is>
          <t>OBRA C/IBIZA, ASPE (CASA CABO)</t>
        </is>
      </c>
      <c r="B668" s="6" t="inlineStr">
        <is>
          <t>164,00</t>
        </is>
      </c>
      <c r="C668" s="6" t="inlineStr"/>
      <c r="D668" s="6" t="inlineStr">
        <is>
          <t>MATERIALES</t>
        </is>
      </c>
      <c r="E668" s="6" t="inlineStr"/>
      <c r="F668" s="6" t="inlineStr">
        <is>
          <t>SIN IMPUTAR</t>
        </is>
      </c>
      <c r="G668" s="4" t="n">
        <v>195.51</v>
      </c>
    </row>
    <row r="669">
      <c r="A669" s="6" t="inlineStr">
        <is>
          <t>OBRA C/IBIZA, ASPE (CASA CABO)</t>
        </is>
      </c>
      <c r="B669" s="6" t="inlineStr">
        <is>
          <t>135,00</t>
        </is>
      </c>
      <c r="C669" s="6" t="inlineStr"/>
      <c r="D669" s="6" t="inlineStr">
        <is>
          <t>MATERIAL OBRA</t>
        </is>
      </c>
      <c r="E669" s="6" t="inlineStr"/>
      <c r="F669" s="6" t="inlineStr">
        <is>
          <t>SIN IMPUTAR</t>
        </is>
      </c>
      <c r="G669" s="4" t="n">
        <v>195.51</v>
      </c>
    </row>
    <row r="670">
      <c r="A670" s="6" t="inlineStr">
        <is>
          <t>OBRA C/IBIZA, ASPE (CASA CABO)</t>
        </is>
      </c>
      <c r="B670" s="6" t="inlineStr">
        <is>
          <t>117,00</t>
        </is>
      </c>
      <c r="C670" s="6" t="inlineStr"/>
      <c r="D670" s="6" t="inlineStr">
        <is>
          <t>EMPOTRABLES GRIFERÍA</t>
        </is>
      </c>
      <c r="E670" s="6" t="inlineStr">
        <is>
          <t>SALTOKI ALICANTE SL.</t>
        </is>
      </c>
      <c r="F670" s="6" t="inlineStr">
        <is>
          <t>SIN IMPUTAR</t>
        </is>
      </c>
      <c r="G670" s="4" t="n">
        <v>189.75</v>
      </c>
    </row>
    <row r="671">
      <c r="A671" s="6" t="inlineStr">
        <is>
          <t>OBRA C/IBIZA, ASPE (CASA CABO)</t>
        </is>
      </c>
      <c r="B671" s="6" t="inlineStr">
        <is>
          <t>68,00</t>
        </is>
      </c>
      <c r="C671" s="6" t="inlineStr"/>
      <c r="D671" s="6" t="inlineStr">
        <is>
          <t>PEGAMENTO REVESTECH</t>
        </is>
      </c>
      <c r="E671" s="6" t="inlineStr"/>
      <c r="F671" s="6" t="inlineStr">
        <is>
          <t>SIN IMPUTAR</t>
        </is>
      </c>
      <c r="G671" s="4" t="n">
        <v>187.18</v>
      </c>
    </row>
    <row r="672">
      <c r="A672" s="6" t="inlineStr">
        <is>
          <t>OBRA C/IBIZA, ASPE (CASA CABO)</t>
        </is>
      </c>
      <c r="B672" s="6" t="inlineStr">
        <is>
          <t>108,00</t>
        </is>
      </c>
      <c r="C672" s="6" t="inlineStr"/>
      <c r="D672" s="6" t="inlineStr">
        <is>
          <t>ABONO</t>
        </is>
      </c>
      <c r="E672" s="6" t="inlineStr"/>
      <c r="F672" s="6" t="inlineStr">
        <is>
          <t>SIN IMPUTAR</t>
        </is>
      </c>
      <c r="G672" s="4" t="n">
        <v>-174.66</v>
      </c>
    </row>
    <row r="673">
      <c r="A673" s="6" t="inlineStr">
        <is>
          <t>OBRA C/IBIZA, ASPE (CASA CABO)</t>
        </is>
      </c>
      <c r="B673" s="6" t="inlineStr">
        <is>
          <t>127,00</t>
        </is>
      </c>
      <c r="C673" s="6" t="inlineStr"/>
      <c r="D673" s="6" t="inlineStr">
        <is>
          <t>MONOCAPA</t>
        </is>
      </c>
      <c r="E673" s="6" t="inlineStr"/>
      <c r="F673" s="6" t="inlineStr">
        <is>
          <t>SIN IMPUTAR</t>
        </is>
      </c>
      <c r="G673" s="4" t="n">
        <v>153.61</v>
      </c>
    </row>
    <row r="674">
      <c r="A674" s="6" t="inlineStr">
        <is>
          <t>OBRA C/IBIZA, ASPE (CASA CABO)</t>
        </is>
      </c>
      <c r="B674" s="6" t="inlineStr">
        <is>
          <t>29,00</t>
        </is>
      </c>
      <c r="C674" s="6" t="inlineStr"/>
      <c r="D674" s="6" t="inlineStr">
        <is>
          <t>SERVICIO SANITARIO MÓVIL</t>
        </is>
      </c>
      <c r="E674" s="6" t="inlineStr"/>
      <c r="F674" s="6" t="inlineStr">
        <is>
          <t>SIN IMPUTAR</t>
        </is>
      </c>
      <c r="G674" s="4" t="n">
        <v>151.84</v>
      </c>
    </row>
    <row r="675">
      <c r="A675" s="6" t="inlineStr">
        <is>
          <t>OBRA C/IBIZA, ASPE (CASA CABO)</t>
        </is>
      </c>
      <c r="B675" s="6" t="inlineStr">
        <is>
          <t>426,00</t>
        </is>
      </c>
      <c r="C675" s="6" t="inlineStr"/>
      <c r="D675" s="6" t="inlineStr">
        <is>
          <t>ARDEX MORTERO</t>
        </is>
      </c>
      <c r="E675" s="6" t="inlineStr">
        <is>
          <t>MATERIALES CANO SL</t>
        </is>
      </c>
      <c r="F675" s="6" t="inlineStr">
        <is>
          <t>SIN IMPUTAR</t>
        </is>
      </c>
      <c r="G675" s="4" t="n">
        <v>151.2</v>
      </c>
    </row>
    <row r="676">
      <c r="A676" s="6" t="inlineStr">
        <is>
          <t>OBRA C/IBIZA, ASPE (CASA CABO)</t>
        </is>
      </c>
      <c r="B676" s="6" t="inlineStr">
        <is>
          <t>210,00</t>
        </is>
      </c>
      <c r="C676" s="6" t="inlineStr"/>
      <c r="D676" s="6" t="inlineStr">
        <is>
          <t>ASIENTO WC</t>
        </is>
      </c>
      <c r="E676" s="6" t="inlineStr">
        <is>
          <t>SALTOKI ALICANTE SL.</t>
        </is>
      </c>
      <c r="F676" s="6" t="inlineStr">
        <is>
          <t>SIN IMPUTAR</t>
        </is>
      </c>
      <c r="G676" s="4" t="n">
        <v>148.15</v>
      </c>
    </row>
    <row r="677">
      <c r="A677" s="6" t="inlineStr">
        <is>
          <t>OBRA C/IBIZA, ASPE (CASA CABO)</t>
        </is>
      </c>
      <c r="B677" s="6" t="inlineStr">
        <is>
          <t>107,00</t>
        </is>
      </c>
      <c r="C677" s="6" t="inlineStr"/>
      <c r="D677" s="6" t="inlineStr">
        <is>
          <t>CANTONERAS Y MATERIAL</t>
        </is>
      </c>
      <c r="E677" s="6" t="inlineStr"/>
      <c r="F677" s="6" t="inlineStr">
        <is>
          <t>SIN IMPUTAR</t>
        </is>
      </c>
      <c r="G677" s="4" t="n">
        <v>146.66</v>
      </c>
    </row>
    <row r="678">
      <c r="A678" s="6" t="inlineStr">
        <is>
          <t>OBRA C/IBIZA, ASPE (CASA CABO)</t>
        </is>
      </c>
      <c r="B678" s="6" t="inlineStr">
        <is>
          <t>39,00</t>
        </is>
      </c>
      <c r="C678" s="6" t="inlineStr"/>
      <c r="D678" s="6" t="inlineStr">
        <is>
          <t>MORTERO COLA YTONG</t>
        </is>
      </c>
      <c r="E678" s="6" t="inlineStr"/>
      <c r="F678" s="6" t="inlineStr">
        <is>
          <t>SIN IMPUTAR</t>
        </is>
      </c>
      <c r="G678" s="4" t="n">
        <v>146.12</v>
      </c>
    </row>
    <row r="679">
      <c r="A679" s="6" t="inlineStr">
        <is>
          <t>OBRA C/IBIZA, ASPE (CASA CABO)</t>
        </is>
      </c>
      <c r="B679" s="6" t="inlineStr">
        <is>
          <t>30,00</t>
        </is>
      </c>
      <c r="C679" s="6" t="inlineStr"/>
      <c r="D679" s="6" t="inlineStr">
        <is>
          <t>MATERIALES VARIOS</t>
        </is>
      </c>
      <c r="E679" s="6" t="inlineStr"/>
      <c r="F679" s="6" t="inlineStr">
        <is>
          <t>SIN IMPUTAR</t>
        </is>
      </c>
      <c r="G679" s="4" t="n">
        <v>146.12</v>
      </c>
    </row>
    <row r="680">
      <c r="A680" s="6" t="inlineStr">
        <is>
          <t>OBRA C/IBIZA, ASPE (CASA CABO)</t>
        </is>
      </c>
      <c r="B680" s="6" t="inlineStr">
        <is>
          <t>24,00</t>
        </is>
      </c>
      <c r="C680" s="6" t="inlineStr"/>
      <c r="D680" s="6" t="inlineStr">
        <is>
          <t>MATERIALES VARIOS</t>
        </is>
      </c>
      <c r="E680" s="6" t="inlineStr"/>
      <c r="F680" s="6" t="inlineStr">
        <is>
          <t>SIN IMPUTAR</t>
        </is>
      </c>
      <c r="G680" s="4" t="n">
        <v>146.12</v>
      </c>
    </row>
    <row r="681">
      <c r="A681" s="6" t="inlineStr">
        <is>
          <t>OBRA C/IBIZA, ASPE (CASA CABO)</t>
        </is>
      </c>
      <c r="B681" s="6" t="inlineStr">
        <is>
          <t>159,00</t>
        </is>
      </c>
      <c r="C681" s="6" t="inlineStr"/>
      <c r="D681" s="6" t="inlineStr">
        <is>
          <t>BOTE ESPUMA</t>
        </is>
      </c>
      <c r="E681" s="6" t="inlineStr">
        <is>
          <t>SALTOKI ALICANTE SL.</t>
        </is>
      </c>
      <c r="F681" s="6" t="inlineStr">
        <is>
          <t>SIN IMPUTAR</t>
        </is>
      </c>
      <c r="G681" s="4" t="n">
        <v>145.74</v>
      </c>
    </row>
    <row r="682">
      <c r="A682" s="6" t="inlineStr">
        <is>
          <t>OBRA C/IBIZA, ASPE (CASA CABO)</t>
        </is>
      </c>
      <c r="B682" s="6" t="inlineStr">
        <is>
          <t>265,00</t>
        </is>
      </c>
      <c r="C682" s="6" t="inlineStr"/>
      <c r="D682" s="6" t="inlineStr">
        <is>
          <t>AZULEJO BLANCO</t>
        </is>
      </c>
      <c r="E682" s="6" t="inlineStr"/>
      <c r="F682" s="6" t="inlineStr">
        <is>
          <t>SIN IMPUTAR</t>
        </is>
      </c>
      <c r="G682" s="4" t="n">
        <v>144.46</v>
      </c>
    </row>
    <row r="683">
      <c r="A683" s="6" t="inlineStr">
        <is>
          <t>OBRA C/IBIZA, ASPE (CASA CABO)</t>
        </is>
      </c>
      <c r="B683" s="6" t="inlineStr">
        <is>
          <t>186,00</t>
        </is>
      </c>
      <c r="C683" s="6" t="inlineStr"/>
      <c r="D683" s="6" t="inlineStr">
        <is>
          <t>COLA YTONG</t>
        </is>
      </c>
      <c r="E683" s="6" t="inlineStr"/>
      <c r="F683" s="6" t="inlineStr">
        <is>
          <t>SIN IMPUTAR</t>
        </is>
      </c>
      <c r="G683" s="4" t="n">
        <v>140.83</v>
      </c>
    </row>
    <row r="684">
      <c r="A684" s="6" t="inlineStr">
        <is>
          <t>OBRA C/IBIZA, ASPE (CASA CABO)</t>
        </is>
      </c>
      <c r="B684" s="6" t="inlineStr">
        <is>
          <t>271,00</t>
        </is>
      </c>
      <c r="C684" s="6" t="inlineStr"/>
      <c r="D684" s="6" t="inlineStr">
        <is>
          <t>CONTENEDOR</t>
        </is>
      </c>
      <c r="E684" s="6" t="inlineStr"/>
      <c r="F684" s="6" t="inlineStr">
        <is>
          <t>SIN IMPUTAR</t>
        </is>
      </c>
      <c r="G684" s="4" t="n">
        <v>140</v>
      </c>
    </row>
    <row r="685">
      <c r="A685" s="6" t="inlineStr">
        <is>
          <t>OBRA C/IBIZA, ASPE (CASA CABO)</t>
        </is>
      </c>
      <c r="B685" s="6" t="inlineStr">
        <is>
          <t>175,00</t>
        </is>
      </c>
      <c r="C685" s="6" t="inlineStr"/>
      <c r="D685" s="6" t="inlineStr">
        <is>
          <t>GRÚA</t>
        </is>
      </c>
      <c r="E685" s="6" t="inlineStr">
        <is>
          <t>GRUAS Y MAQUINARIA PETREL SL</t>
        </is>
      </c>
      <c r="F685" s="6" t="inlineStr">
        <is>
          <t>SIN IMPUTAR</t>
        </is>
      </c>
      <c r="G685" s="4" t="n">
        <v>140</v>
      </c>
    </row>
    <row r="686">
      <c r="A686" s="6" t="inlineStr">
        <is>
          <t>OBRA C/IBIZA, ASPE (CASA CABO)</t>
        </is>
      </c>
      <c r="B686" s="6" t="inlineStr">
        <is>
          <t>497,00</t>
        </is>
      </c>
      <c r="C686" s="6" t="inlineStr"/>
      <c r="D686" s="6" t="inlineStr">
        <is>
          <t>DEVOLUCION BOX UNIVERSAL</t>
        </is>
      </c>
      <c r="E686" s="6" t="inlineStr">
        <is>
          <t>SALTOKI ALICANTE SL.</t>
        </is>
      </c>
      <c r="F686" s="6" t="inlineStr">
        <is>
          <t>SIN IMPUTAR</t>
        </is>
      </c>
      <c r="G686" s="4" t="n">
        <v>129.8</v>
      </c>
    </row>
    <row r="687">
      <c r="A687" s="6" t="inlineStr">
        <is>
          <t>OBRA C/IBIZA, ASPE (CASA CABO)</t>
        </is>
      </c>
      <c r="B687" s="6" t="inlineStr">
        <is>
          <t>362,00</t>
        </is>
      </c>
      <c r="C687" s="6" t="inlineStr"/>
      <c r="D687" s="6" t="inlineStr">
        <is>
          <t>DEVOLUCION BOX UNIVERSAL</t>
        </is>
      </c>
      <c r="E687" s="6" t="inlineStr">
        <is>
          <t>SALTOKI ALICANTE SL.</t>
        </is>
      </c>
      <c r="F687" s="6" t="inlineStr">
        <is>
          <t>SIN IMPUTAR</t>
        </is>
      </c>
      <c r="G687" s="4" t="n">
        <v>-129.8</v>
      </c>
    </row>
    <row r="688">
      <c r="A688" s="6" t="inlineStr">
        <is>
          <t>OBRA C/IBIZA, ASPE (CASA CABO)</t>
        </is>
      </c>
      <c r="B688" s="6" t="inlineStr">
        <is>
          <t>99,00</t>
        </is>
      </c>
      <c r="C688" s="6" t="inlineStr"/>
      <c r="D688" s="6" t="inlineStr">
        <is>
          <t>SANITARIO PORTÁTIL ENERO</t>
        </is>
      </c>
      <c r="E688" s="6" t="inlineStr"/>
      <c r="F688" s="6" t="inlineStr">
        <is>
          <t>SIN IMPUTAR</t>
        </is>
      </c>
      <c r="G688" s="4" t="n">
        <v>126.85</v>
      </c>
    </row>
    <row r="689">
      <c r="A689" s="6" t="inlineStr">
        <is>
          <t>OBRA C/IBIZA, ASPE (CASA CABO)</t>
        </is>
      </c>
      <c r="B689" s="6" t="inlineStr">
        <is>
          <t>228,00</t>
        </is>
      </c>
      <c r="C689" s="6" t="inlineStr"/>
      <c r="D689" s="6" t="inlineStr">
        <is>
          <t>LOSA TEKA</t>
        </is>
      </c>
      <c r="E689" s="6" t="inlineStr"/>
      <c r="F689" s="6" t="inlineStr">
        <is>
          <t>SIN IMPUTAR</t>
        </is>
      </c>
      <c r="G689" s="4" t="n">
        <v>126</v>
      </c>
    </row>
    <row r="690">
      <c r="A690" s="6" t="inlineStr">
        <is>
          <t>OBRA C/IBIZA, ASPE (CASA CABO)</t>
        </is>
      </c>
      <c r="B690" s="6" t="inlineStr">
        <is>
          <t>49,00</t>
        </is>
      </c>
      <c r="C690" s="6" t="inlineStr"/>
      <c r="D690" s="6" t="inlineStr">
        <is>
          <t>SERVICIO SANITARIO MÓVIL</t>
        </is>
      </c>
      <c r="E690" s="6" t="inlineStr"/>
      <c r="F690" s="6" t="inlineStr">
        <is>
          <t>SIN IMPUTAR</t>
        </is>
      </c>
      <c r="G690" s="4" t="n">
        <v>122.76</v>
      </c>
    </row>
    <row r="691">
      <c r="A691" s="6" t="inlineStr">
        <is>
          <t>OBRA C/IBIZA, ASPE (CASA CABO)</t>
        </is>
      </c>
      <c r="B691" s="6" t="inlineStr">
        <is>
          <t>72,00</t>
        </is>
      </c>
      <c r="C691" s="6" t="inlineStr"/>
      <c r="D691" s="6" t="inlineStr">
        <is>
          <t>WC</t>
        </is>
      </c>
      <c r="E691" s="6" t="inlineStr">
        <is>
          <t>SALTOKI ALICANTE SL.</t>
        </is>
      </c>
      <c r="F691" s="6" t="inlineStr">
        <is>
          <t>SIN IMPUTAR</t>
        </is>
      </c>
      <c r="G691" s="4" t="n">
        <v>115.5</v>
      </c>
    </row>
    <row r="692">
      <c r="A692" s="6" t="inlineStr">
        <is>
          <t>OBRA C/IBIZA, ASPE (CASA CABO)</t>
        </is>
      </c>
      <c r="B692" s="6" t="inlineStr">
        <is>
          <t>299,00</t>
        </is>
      </c>
      <c r="C692" s="6" t="inlineStr"/>
      <c r="D692" s="6" t="inlineStr">
        <is>
          <t>ESPUMA ULTRA TODO</t>
        </is>
      </c>
      <c r="E692" s="6" t="inlineStr"/>
      <c r="F692" s="6" t="inlineStr">
        <is>
          <t>SIN IMPUTAR</t>
        </is>
      </c>
      <c r="G692" s="4" t="n">
        <v>110.62</v>
      </c>
    </row>
    <row r="693">
      <c r="A693" s="6" t="inlineStr">
        <is>
          <t>OBRA C/IBIZA, ASPE (CASA CABO)</t>
        </is>
      </c>
      <c r="B693" s="6" t="inlineStr">
        <is>
          <t>341,00</t>
        </is>
      </c>
      <c r="C693" s="6" t="inlineStr"/>
      <c r="D693" s="6" t="inlineStr">
        <is>
          <t>ESTRUCTURA METALICA</t>
        </is>
      </c>
      <c r="E693" s="6" t="inlineStr"/>
      <c r="F693" s="6" t="inlineStr">
        <is>
          <t>SIN IMPUTAR</t>
        </is>
      </c>
      <c r="G693" s="4" t="n">
        <v>110.25</v>
      </c>
    </row>
    <row r="694">
      <c r="A694" s="6" t="inlineStr">
        <is>
          <t>OBRA C/IBIZA, ASPE (CASA CABO)</t>
        </is>
      </c>
      <c r="B694" s="6" t="inlineStr">
        <is>
          <t>162,00</t>
        </is>
      </c>
      <c r="C694" s="6" t="inlineStr"/>
      <c r="D694" s="6" t="inlineStr">
        <is>
          <t>MATERIAL BARDO</t>
        </is>
      </c>
      <c r="E694" s="6" t="inlineStr"/>
      <c r="F694" s="6" t="inlineStr">
        <is>
          <t>SIN IMPUTAR</t>
        </is>
      </c>
      <c r="G694" s="4" t="n">
        <v>107.16</v>
      </c>
    </row>
    <row r="695">
      <c r="A695" s="6" t="inlineStr">
        <is>
          <t>OBRA C/IBIZA, ASPE (CASA CABO)</t>
        </is>
      </c>
      <c r="B695" s="6" t="inlineStr">
        <is>
          <t>352,00</t>
        </is>
      </c>
      <c r="C695" s="6" t="inlineStr"/>
      <c r="D695" s="6" t="inlineStr">
        <is>
          <t>RODAPIE</t>
        </is>
      </c>
      <c r="E695" s="6" t="inlineStr"/>
      <c r="F695" s="6" t="inlineStr">
        <is>
          <t>SIN IMPUTAR</t>
        </is>
      </c>
      <c r="G695" s="4" t="n">
        <v>106.8</v>
      </c>
    </row>
    <row r="696">
      <c r="A696" s="6" t="inlineStr">
        <is>
          <t>OBRA C/IBIZA, ASPE (CASA CABO)</t>
        </is>
      </c>
      <c r="B696" s="6" t="inlineStr">
        <is>
          <t>26,00</t>
        </is>
      </c>
      <c r="C696" s="6" t="inlineStr"/>
      <c r="D696" s="6" t="inlineStr">
        <is>
          <t>MATERIALES VARIOS</t>
        </is>
      </c>
      <c r="E696" s="6" t="inlineStr"/>
      <c r="F696" s="6" t="inlineStr">
        <is>
          <t>SIN IMPUTAR</t>
        </is>
      </c>
      <c r="G696" s="4" t="n">
        <v>106</v>
      </c>
    </row>
    <row r="697">
      <c r="A697" s="6" t="inlineStr">
        <is>
          <t>OBRA C/IBIZA, ASPE (CASA CABO)</t>
        </is>
      </c>
      <c r="B697" s="6" t="inlineStr">
        <is>
          <t>67,00</t>
        </is>
      </c>
      <c r="C697" s="6" t="inlineStr"/>
      <c r="D697" s="6" t="inlineStr">
        <is>
          <t>MATERIAL OBRA</t>
        </is>
      </c>
      <c r="E697" s="6" t="inlineStr"/>
      <c r="F697" s="6" t="inlineStr">
        <is>
          <t>SIN IMPUTAR</t>
        </is>
      </c>
      <c r="G697" s="4" t="n">
        <v>104.53</v>
      </c>
    </row>
    <row r="698">
      <c r="A698" s="6" t="inlineStr">
        <is>
          <t>OBRA C/IBIZA, ASPE (CASA CABO)</t>
        </is>
      </c>
      <c r="B698" s="6" t="inlineStr">
        <is>
          <t>92,00</t>
        </is>
      </c>
      <c r="C698" s="6" t="inlineStr"/>
      <c r="D698" s="6" t="inlineStr">
        <is>
          <t>MATERIAL OBRA</t>
        </is>
      </c>
      <c r="E698" s="6" t="inlineStr"/>
      <c r="F698" s="6" t="inlineStr">
        <is>
          <t>SIN IMPUTAR</t>
        </is>
      </c>
      <c r="G698" s="4" t="n">
        <v>101.51</v>
      </c>
    </row>
    <row r="699">
      <c r="A699" s="6" t="inlineStr">
        <is>
          <t>OBRA C/IBIZA, ASPE (CASA CABO)</t>
        </is>
      </c>
      <c r="B699" s="6" t="inlineStr">
        <is>
          <t>339,00</t>
        </is>
      </c>
      <c r="C699" s="6" t="inlineStr"/>
      <c r="D699" s="6" t="inlineStr">
        <is>
          <t>PERFORADOR</t>
        </is>
      </c>
      <c r="E699" s="6" t="inlineStr"/>
      <c r="F699" s="6" t="inlineStr">
        <is>
          <t>SIN IMPUTAR</t>
        </is>
      </c>
      <c r="G699" s="4" t="n">
        <v>101.48</v>
      </c>
    </row>
    <row r="700">
      <c r="A700" s="6" t="inlineStr">
        <is>
          <t>OBRA C/IBIZA, ASPE (CASA CABO)</t>
        </is>
      </c>
      <c r="B700" s="6" t="inlineStr">
        <is>
          <t>146,00</t>
        </is>
      </c>
      <c r="C700" s="6" t="inlineStr"/>
      <c r="D700" s="6" t="inlineStr">
        <is>
          <t>MATERIAL OBRA</t>
        </is>
      </c>
      <c r="E700" s="6" t="inlineStr"/>
      <c r="F700" s="6" t="inlineStr">
        <is>
          <t>SIN IMPUTAR</t>
        </is>
      </c>
      <c r="G700" s="4" t="n">
        <v>101.46</v>
      </c>
    </row>
    <row r="701">
      <c r="A701" s="6" t="inlineStr">
        <is>
          <t>OBRA C/IBIZA, ASPE (CASA CABO)</t>
        </is>
      </c>
      <c r="B701" s="6" t="inlineStr">
        <is>
          <t>83,00</t>
        </is>
      </c>
      <c r="C701" s="6" t="inlineStr"/>
      <c r="D701" s="6" t="inlineStr">
        <is>
          <t>TELA ASFÁLTICA</t>
        </is>
      </c>
      <c r="E701" s="6" t="inlineStr"/>
      <c r="F701" s="6" t="inlineStr">
        <is>
          <t>SIN IMPUTAR</t>
        </is>
      </c>
      <c r="G701" s="4" t="n">
        <v>95.14</v>
      </c>
    </row>
    <row r="702">
      <c r="A702" s="6" t="inlineStr">
        <is>
          <t>OBRA C/IBIZA, ASPE (CASA CABO)</t>
        </is>
      </c>
      <c r="B702" s="6" t="inlineStr">
        <is>
          <t>224,00</t>
        </is>
      </c>
      <c r="C702" s="6" t="inlineStr"/>
      <c r="D702" s="6" t="inlineStr">
        <is>
          <t>GRIFERÍA</t>
        </is>
      </c>
      <c r="E702" s="6" t="inlineStr">
        <is>
          <t>SALTOKI ALICANTE SL.</t>
        </is>
      </c>
      <c r="F702" s="6" t="inlineStr">
        <is>
          <t>SIN IMPUTAR</t>
        </is>
      </c>
      <c r="G702" s="4" t="n">
        <v>92.40000000000001</v>
      </c>
    </row>
    <row r="703">
      <c r="A703" s="6" t="inlineStr">
        <is>
          <t>OBRA C/IBIZA, ASPE (CASA CABO)</t>
        </is>
      </c>
      <c r="B703" s="6" t="inlineStr">
        <is>
          <t>137,00</t>
        </is>
      </c>
      <c r="C703" s="6" t="inlineStr"/>
      <c r="D703" s="6" t="inlineStr">
        <is>
          <t>FACTURA RECTIFICATIVA</t>
        </is>
      </c>
      <c r="E703" s="6" t="inlineStr"/>
      <c r="F703" s="6" t="inlineStr">
        <is>
          <t>SIN IMPUTAR</t>
        </is>
      </c>
      <c r="G703" s="4" t="n">
        <v>-89.39</v>
      </c>
    </row>
    <row r="704">
      <c r="A704" s="6" t="inlineStr">
        <is>
          <t>OBRA C/IBIZA, ASPE (CASA CABO)</t>
        </is>
      </c>
      <c r="B704" s="6" t="inlineStr">
        <is>
          <t>136,00</t>
        </is>
      </c>
      <c r="C704" s="6" t="inlineStr"/>
      <c r="D704" s="6" t="inlineStr">
        <is>
          <t>MATERIAL</t>
        </is>
      </c>
      <c r="E704" s="6" t="inlineStr"/>
      <c r="F704" s="6" t="inlineStr">
        <is>
          <t>SIN IMPUTAR</t>
        </is>
      </c>
      <c r="G704" s="4" t="n">
        <v>89.39</v>
      </c>
    </row>
    <row r="705">
      <c r="A705" s="6" t="inlineStr">
        <is>
          <t>OBRA C/IBIZA, ASPE (CASA CABO)</t>
        </is>
      </c>
      <c r="B705" s="6" t="inlineStr">
        <is>
          <t>17,00</t>
        </is>
      </c>
      <c r="C705" s="6" t="inlineStr"/>
      <c r="D705" s="6" t="inlineStr">
        <is>
          <t>MATERIALES VARIOS</t>
        </is>
      </c>
      <c r="E705" s="6" t="inlineStr"/>
      <c r="F705" s="6" t="inlineStr">
        <is>
          <t>SIN IMPUTAR</t>
        </is>
      </c>
      <c r="G705" s="4" t="n">
        <v>86.52</v>
      </c>
    </row>
    <row r="706">
      <c r="A706" s="6" t="inlineStr">
        <is>
          <t>OBRA C/IBIZA, ASPE (CASA CABO)</t>
        </is>
      </c>
      <c r="B706" s="6" t="inlineStr">
        <is>
          <t>454,00</t>
        </is>
      </c>
      <c r="C706" s="6" t="inlineStr"/>
      <c r="D706" s="6" t="inlineStr">
        <is>
          <t>MATERIAL</t>
        </is>
      </c>
      <c r="E706" s="6" t="inlineStr"/>
      <c r="F706" s="6" t="inlineStr">
        <is>
          <t>SIN IMPUTAR</t>
        </is>
      </c>
      <c r="G706" s="4" t="n">
        <v>85.70999999999999</v>
      </c>
    </row>
    <row r="707">
      <c r="A707" s="6" t="inlineStr">
        <is>
          <t>OBRA C/IBIZA, ASPE (CASA CABO)</t>
        </is>
      </c>
      <c r="B707" s="6" t="inlineStr">
        <is>
          <t>54,00</t>
        </is>
      </c>
      <c r="C707" s="6" t="inlineStr"/>
      <c r="D707" s="6" t="inlineStr">
        <is>
          <t>MATERIALES VARIOS</t>
        </is>
      </c>
      <c r="E707" s="6" t="inlineStr"/>
      <c r="F707" s="6" t="inlineStr">
        <is>
          <t>SIN IMPUTAR</t>
        </is>
      </c>
      <c r="G707" s="4" t="n">
        <v>84.38</v>
      </c>
    </row>
    <row r="708">
      <c r="A708" s="6" t="inlineStr">
        <is>
          <t>OBRA C/IBIZA, ASPE (CASA CABO)</t>
        </is>
      </c>
      <c r="B708" s="6" t="inlineStr">
        <is>
          <t>259,00</t>
        </is>
      </c>
      <c r="C708" s="6" t="inlineStr"/>
      <c r="D708" s="6" t="inlineStr">
        <is>
          <t>ANTICIPO PEDIDO</t>
        </is>
      </c>
      <c r="E708" s="6" t="inlineStr"/>
      <c r="F708" s="6" t="inlineStr">
        <is>
          <t>SIN IMPUTAR</t>
        </is>
      </c>
      <c r="G708" s="4" t="n">
        <v>79.31</v>
      </c>
    </row>
    <row r="709">
      <c r="A709" s="6" t="inlineStr">
        <is>
          <t>OBRA C/IBIZA, ASPE (CASA CABO)</t>
        </is>
      </c>
      <c r="B709" s="6" t="inlineStr">
        <is>
          <t>86,00</t>
        </is>
      </c>
      <c r="C709" s="6" t="inlineStr"/>
      <c r="D709" s="6" t="inlineStr">
        <is>
          <t>EPDM  DESAGÜES</t>
        </is>
      </c>
      <c r="E709" s="6" t="inlineStr"/>
      <c r="F709" s="6" t="inlineStr">
        <is>
          <t>SIN IMPUTAR</t>
        </is>
      </c>
      <c r="G709" s="4" t="n">
        <v>77.40000000000001</v>
      </c>
    </row>
    <row r="710">
      <c r="A710" s="6" t="inlineStr">
        <is>
          <t>OBRA C/IBIZA, ASPE (CASA CABO)</t>
        </is>
      </c>
      <c r="B710" s="6" t="inlineStr">
        <is>
          <t>23,00</t>
        </is>
      </c>
      <c r="C710" s="6" t="inlineStr"/>
      <c r="D710" s="6" t="inlineStr">
        <is>
          <t>MATERIALES VARIOS</t>
        </is>
      </c>
      <c r="E710" s="6" t="inlineStr"/>
      <c r="F710" s="6" t="inlineStr">
        <is>
          <t>SIN IMPUTAR</t>
        </is>
      </c>
      <c r="G710" s="4" t="n">
        <v>75.87</v>
      </c>
    </row>
    <row r="711">
      <c r="A711" s="6" t="inlineStr">
        <is>
          <t>OBRA C/IBIZA, ASPE (CASA CABO)</t>
        </is>
      </c>
      <c r="B711" s="6" t="inlineStr">
        <is>
          <t>206,00</t>
        </is>
      </c>
      <c r="C711" s="6" t="inlineStr"/>
      <c r="D711" s="6" t="inlineStr">
        <is>
          <t>ABONO FACTURA 11926</t>
        </is>
      </c>
      <c r="E711" s="6" t="inlineStr">
        <is>
          <t>SALTOKI ALICANTE SL.</t>
        </is>
      </c>
      <c r="F711" s="6" t="inlineStr">
        <is>
          <t>SIN IMPUTAR</t>
        </is>
      </c>
      <c r="G711" s="4" t="n">
        <v>-73.15000000000001</v>
      </c>
    </row>
    <row r="712">
      <c r="A712" s="6" t="inlineStr">
        <is>
          <t>OBRA C/IBIZA, ASPE (CASA CABO)</t>
        </is>
      </c>
      <c r="B712" s="6" t="inlineStr">
        <is>
          <t>167,00</t>
        </is>
      </c>
      <c r="C712" s="6" t="inlineStr"/>
      <c r="D712" s="6" t="inlineStr">
        <is>
          <t>GRÚA</t>
        </is>
      </c>
      <c r="E712" s="6" t="inlineStr">
        <is>
          <t>GRUAS Y MAQUINARIA PETREL SL</t>
        </is>
      </c>
      <c r="F712" s="6" t="inlineStr">
        <is>
          <t>SIN IMPUTAR</t>
        </is>
      </c>
      <c r="G712" s="4" t="n">
        <v>70</v>
      </c>
    </row>
    <row r="713">
      <c r="A713" s="6" t="inlineStr">
        <is>
          <t>OBRA C/IBIZA, ASPE (CASA CABO)</t>
        </is>
      </c>
      <c r="B713" s="6" t="inlineStr">
        <is>
          <t>177,00</t>
        </is>
      </c>
      <c r="C713" s="6" t="inlineStr"/>
      <c r="D713" s="6" t="inlineStr">
        <is>
          <t>TOI TOI FEBRERO</t>
        </is>
      </c>
      <c r="E713" s="6" t="inlineStr"/>
      <c r="F713" s="6" t="inlineStr">
        <is>
          <t>SIN IMPUTAR</t>
        </is>
      </c>
      <c r="G713" s="4" t="n">
        <v>65.47</v>
      </c>
    </row>
    <row r="714">
      <c r="A714" s="6" t="inlineStr">
        <is>
          <t>OBRA C/IBIZA, ASPE (CASA CABO)</t>
        </is>
      </c>
      <c r="B714" s="6" t="inlineStr">
        <is>
          <t>75,00</t>
        </is>
      </c>
      <c r="C714" s="6" t="inlineStr"/>
      <c r="D714" s="6" t="inlineStr">
        <is>
          <t>PULSADOR WC</t>
        </is>
      </c>
      <c r="E714" s="6" t="inlineStr">
        <is>
          <t>SALTOKI ALICANTE SL.</t>
        </is>
      </c>
      <c r="F714" s="6" t="inlineStr">
        <is>
          <t>SIN IMPUTAR</t>
        </is>
      </c>
      <c r="G714" s="4" t="n">
        <v>64.34999999999999</v>
      </c>
    </row>
    <row r="715">
      <c r="A715" s="6" t="inlineStr">
        <is>
          <t>OBRA C/IBIZA, ASPE (CASA CABO)</t>
        </is>
      </c>
      <c r="B715" s="6" t="inlineStr">
        <is>
          <t>85,00</t>
        </is>
      </c>
      <c r="C715" s="6" t="inlineStr"/>
      <c r="D715" s="6" t="inlineStr">
        <is>
          <t>RESINA</t>
        </is>
      </c>
      <c r="E715" s="6" t="inlineStr"/>
      <c r="F715" s="6" t="inlineStr">
        <is>
          <t>SIN IMPUTAR</t>
        </is>
      </c>
      <c r="G715" s="4" t="n">
        <v>64.22</v>
      </c>
    </row>
    <row r="716">
      <c r="A716" s="6" t="inlineStr">
        <is>
          <t>OBRA C/IBIZA, ASPE (CASA CABO)</t>
        </is>
      </c>
      <c r="B716" s="6" t="inlineStr">
        <is>
          <t>474,00</t>
        </is>
      </c>
      <c r="C716" s="6" t="inlineStr"/>
      <c r="D716" s="6" t="inlineStr">
        <is>
          <t>REPISA MARMOL</t>
        </is>
      </c>
      <c r="E716" s="6" t="inlineStr"/>
      <c r="F716" s="6" t="inlineStr">
        <is>
          <t>SIN IMPUTAR</t>
        </is>
      </c>
      <c r="G716" s="4" t="n">
        <v>64.15000000000001</v>
      </c>
    </row>
    <row r="717">
      <c r="A717" s="6" t="inlineStr">
        <is>
          <t>OBRA C/IBIZA, ASPE (CASA CABO)</t>
        </is>
      </c>
      <c r="B717" s="6" t="inlineStr">
        <is>
          <t>205,00</t>
        </is>
      </c>
      <c r="C717" s="6" t="inlineStr"/>
      <c r="D717" s="6" t="inlineStr">
        <is>
          <t>BOX EMPOTRAR</t>
        </is>
      </c>
      <c r="E717" s="6" t="inlineStr">
        <is>
          <t>SALTOKI ALICANTE SL.</t>
        </is>
      </c>
      <c r="F717" s="6" t="inlineStr">
        <is>
          <t>SIN IMPUTAR</t>
        </is>
      </c>
      <c r="G717" s="4" t="n">
        <v>63.25</v>
      </c>
    </row>
    <row r="718">
      <c r="A718" s="6" t="inlineStr">
        <is>
          <t>OBRA C/IBIZA, ASPE (CASA CABO)</t>
        </is>
      </c>
      <c r="B718" s="6" t="inlineStr">
        <is>
          <t>15,00</t>
        </is>
      </c>
      <c r="C718" s="6" t="inlineStr"/>
      <c r="D718" s="6" t="inlineStr">
        <is>
          <t>MATERIALES VARIOS</t>
        </is>
      </c>
      <c r="E718" s="6" t="inlineStr"/>
      <c r="F718" s="6" t="inlineStr">
        <is>
          <t>SIN IMPUTAR</t>
        </is>
      </c>
      <c r="G718" s="4" t="n">
        <v>58.53</v>
      </c>
    </row>
    <row r="719">
      <c r="A719" s="6" t="inlineStr">
        <is>
          <t>OBRA C/IBIZA, ASPE (CASA CABO)</t>
        </is>
      </c>
      <c r="B719" s="6" t="inlineStr">
        <is>
          <t>223,00</t>
        </is>
      </c>
      <c r="C719" s="6" t="inlineStr"/>
      <c r="D719" s="6" t="inlineStr">
        <is>
          <t>COLA YTONG</t>
        </is>
      </c>
      <c r="E719" s="6" t="inlineStr"/>
      <c r="F719" s="6" t="inlineStr">
        <is>
          <t>SIN IMPUTAR</t>
        </is>
      </c>
      <c r="G719" s="4" t="n">
        <v>56.33</v>
      </c>
    </row>
    <row r="720">
      <c r="A720" s="6" t="inlineStr">
        <is>
          <t>OBRA C/IBIZA, ASPE (CASA CABO)</t>
        </is>
      </c>
      <c r="B720" s="6" t="inlineStr">
        <is>
          <t>37,00</t>
        </is>
      </c>
      <c r="C720" s="6" t="inlineStr"/>
      <c r="D720" s="6" t="inlineStr">
        <is>
          <t>MATERIALES VARIOS</t>
        </is>
      </c>
      <c r="E720" s="6" t="inlineStr"/>
      <c r="F720" s="6" t="inlineStr">
        <is>
          <t>SIN IMPUTAR</t>
        </is>
      </c>
      <c r="G720" s="4" t="n">
        <v>55.5</v>
      </c>
    </row>
    <row r="721">
      <c r="A721" s="6" t="inlineStr">
        <is>
          <t>OBRA C/IBIZA, ASPE (CASA CABO)</t>
        </is>
      </c>
      <c r="B721" s="6" t="inlineStr">
        <is>
          <t>113,00</t>
        </is>
      </c>
      <c r="C721" s="6" t="inlineStr"/>
      <c r="D721" s="6" t="inlineStr">
        <is>
          <t>MATERIAL</t>
        </is>
      </c>
      <c r="E721" s="6" t="inlineStr"/>
      <c r="F721" s="6" t="inlineStr">
        <is>
          <t>SIN IMPUTAR</t>
        </is>
      </c>
      <c r="G721" s="4" t="n">
        <v>53.72</v>
      </c>
    </row>
    <row r="722">
      <c r="A722" s="6" t="inlineStr">
        <is>
          <t>OBRA C/IBIZA, ASPE (CASA CABO)</t>
        </is>
      </c>
      <c r="B722" s="6" t="inlineStr">
        <is>
          <t>256,00</t>
        </is>
      </c>
      <c r="C722" s="6" t="inlineStr"/>
      <c r="D722" s="6" t="inlineStr">
        <is>
          <t>PUERTA CONTADOR</t>
        </is>
      </c>
      <c r="E722" s="6" t="inlineStr"/>
      <c r="F722" s="6" t="inlineStr">
        <is>
          <t>SIN IMPUTAR</t>
        </is>
      </c>
      <c r="G722" s="4" t="n">
        <v>52.64</v>
      </c>
    </row>
    <row r="723">
      <c r="A723" s="6" t="inlineStr">
        <is>
          <t>OBRA C/IBIZA, ASPE (CASA CABO)</t>
        </is>
      </c>
      <c r="B723" s="6" t="inlineStr">
        <is>
          <t>34,00</t>
        </is>
      </c>
      <c r="C723" s="6" t="inlineStr"/>
      <c r="D723" s="6" t="inlineStr">
        <is>
          <t>MATERIALES VARIOS</t>
        </is>
      </c>
      <c r="E723" s="6" t="inlineStr"/>
      <c r="F723" s="6" t="inlineStr">
        <is>
          <t>SIN IMPUTAR</t>
        </is>
      </c>
      <c r="G723" s="4" t="n">
        <v>50.7</v>
      </c>
    </row>
    <row r="724">
      <c r="A724" s="6" t="inlineStr">
        <is>
          <t>OBRA C/IBIZA, ASPE (CASA CABO)</t>
        </is>
      </c>
      <c r="B724" s="6" t="inlineStr">
        <is>
          <t>430,00</t>
        </is>
      </c>
      <c r="C724" s="6" t="inlineStr"/>
      <c r="D724" s="6" t="inlineStr">
        <is>
          <t>AEDEX MORTERO</t>
        </is>
      </c>
      <c r="E724" s="6" t="inlineStr">
        <is>
          <t>MATERIALES CANO SL</t>
        </is>
      </c>
      <c r="F724" s="6" t="inlineStr">
        <is>
          <t>SIN IMPUTAR</t>
        </is>
      </c>
      <c r="G724" s="4" t="n">
        <v>50.4</v>
      </c>
    </row>
    <row r="725">
      <c r="A725" s="6" t="inlineStr">
        <is>
          <t>OBRA C/IBIZA, ASPE (CASA CABO)</t>
        </is>
      </c>
      <c r="B725" s="6" t="inlineStr">
        <is>
          <t>267,00</t>
        </is>
      </c>
      <c r="C725" s="6" t="inlineStr"/>
      <c r="D725" s="6" t="inlineStr">
        <is>
          <t>GRUA</t>
        </is>
      </c>
      <c r="E725" s="6" t="inlineStr"/>
      <c r="F725" s="6" t="inlineStr">
        <is>
          <t>SIN IMPUTAR</t>
        </is>
      </c>
      <c r="G725" s="4" t="n">
        <v>50</v>
      </c>
    </row>
    <row r="726">
      <c r="A726" s="6" t="inlineStr">
        <is>
          <t>OBRA C/IBIZA, ASPE (CASA CABO)</t>
        </is>
      </c>
      <c r="B726" s="6" t="inlineStr">
        <is>
          <t>148,00</t>
        </is>
      </c>
      <c r="C726" s="6" t="inlineStr"/>
      <c r="D726" s="6" t="inlineStr">
        <is>
          <t>GAS BUTANO</t>
        </is>
      </c>
      <c r="E726" s="6" t="inlineStr"/>
      <c r="F726" s="6" t="inlineStr">
        <is>
          <t>SIN IMPUTAR</t>
        </is>
      </c>
      <c r="G726" s="4" t="n">
        <v>49.59</v>
      </c>
    </row>
    <row r="727">
      <c r="A727" s="6" t="inlineStr">
        <is>
          <t>OBRA C/IBIZA, ASPE (CASA CABO)</t>
        </is>
      </c>
      <c r="B727" s="6" t="inlineStr">
        <is>
          <t>112,00</t>
        </is>
      </c>
      <c r="C727" s="6" t="inlineStr"/>
      <c r="D727" s="6" t="inlineStr">
        <is>
          <t>BUTANO</t>
        </is>
      </c>
      <c r="E727" s="6" t="inlineStr"/>
      <c r="F727" s="6" t="inlineStr">
        <is>
          <t>SIN IMPUTAR</t>
        </is>
      </c>
      <c r="G727" s="4" t="n">
        <v>49.59</v>
      </c>
    </row>
    <row r="728">
      <c r="A728" s="6" t="inlineStr">
        <is>
          <t>OBRA C/IBIZA, ASPE (CASA CABO)</t>
        </is>
      </c>
      <c r="B728" s="6" t="inlineStr">
        <is>
          <t>260,00</t>
        </is>
      </c>
      <c r="C728" s="6" t="inlineStr"/>
      <c r="D728" s="6" t="inlineStr">
        <is>
          <t>PORCELÁNICO</t>
        </is>
      </c>
      <c r="E728" s="6" t="inlineStr">
        <is>
          <t>FAJOVI SL</t>
        </is>
      </c>
      <c r="F728" s="6" t="inlineStr">
        <is>
          <t>SIN IMPUTAR</t>
        </is>
      </c>
      <c r="G728" s="4" t="n">
        <v>47.9</v>
      </c>
    </row>
    <row r="729">
      <c r="A729" s="6" t="inlineStr">
        <is>
          <t>OBRA C/IBIZA, ASPE (CASA CABO)</t>
        </is>
      </c>
      <c r="B729" s="6" t="inlineStr">
        <is>
          <t>250,00</t>
        </is>
      </c>
      <c r="C729" s="6" t="inlineStr"/>
      <c r="D729" s="6" t="inlineStr">
        <is>
          <t>AZULEJO</t>
        </is>
      </c>
      <c r="E729" s="6" t="inlineStr">
        <is>
          <t>FAJOVI SL</t>
        </is>
      </c>
      <c r="F729" s="6" t="inlineStr">
        <is>
          <t>SIN IMPUTAR</t>
        </is>
      </c>
      <c r="G729" s="4" t="n">
        <v>47.9</v>
      </c>
    </row>
    <row r="730">
      <c r="A730" s="6" t="inlineStr">
        <is>
          <t>OBRA C/IBIZA, ASPE (CASA CABO)</t>
        </is>
      </c>
      <c r="B730" s="6" t="inlineStr">
        <is>
          <t>33,00</t>
        </is>
      </c>
      <c r="C730" s="6" t="inlineStr"/>
      <c r="D730" s="6" t="inlineStr">
        <is>
          <t>MATERIALES VARIOS</t>
        </is>
      </c>
      <c r="E730" s="6" t="inlineStr"/>
      <c r="F730" s="6" t="inlineStr">
        <is>
          <t>SIN IMPUTAR</t>
        </is>
      </c>
      <c r="G730" s="4" t="n">
        <v>46.28</v>
      </c>
    </row>
    <row r="731">
      <c r="A731" s="6" t="inlineStr">
        <is>
          <t>OBRA C/IBIZA, ASPE (CASA CABO)</t>
        </is>
      </c>
      <c r="B731" s="6" t="inlineStr">
        <is>
          <t>35,00</t>
        </is>
      </c>
      <c r="C731" s="6" t="inlineStr"/>
      <c r="D731" s="6" t="inlineStr">
        <is>
          <t>DASEGÜE</t>
        </is>
      </c>
      <c r="E731" s="6" t="inlineStr"/>
      <c r="F731" s="6" t="inlineStr">
        <is>
          <t>SIN IMPUTAR</t>
        </is>
      </c>
      <c r="G731" s="4" t="n">
        <v>42.81</v>
      </c>
    </row>
    <row r="732">
      <c r="A732" s="6" t="inlineStr">
        <is>
          <t>OBRA C/IBIZA, ASPE (CASA CABO)</t>
        </is>
      </c>
      <c r="B732" s="6" t="inlineStr">
        <is>
          <t>66,00</t>
        </is>
      </c>
      <c r="C732" s="6" t="inlineStr"/>
      <c r="D732" s="6" t="inlineStr">
        <is>
          <t>MATERIALES VARIOS</t>
        </is>
      </c>
      <c r="E732" s="6" t="inlineStr">
        <is>
          <t>SALTOKI ALICANTE SL.</t>
        </is>
      </c>
      <c r="F732" s="6" t="inlineStr">
        <is>
          <t>SIN IMPUTAR</t>
        </is>
      </c>
      <c r="G732" s="4" t="n">
        <v>42.66</v>
      </c>
    </row>
    <row r="733">
      <c r="A733" s="6" t="inlineStr">
        <is>
          <t>OBRA C/IBIZA, ASPE (CASA CABO)</t>
        </is>
      </c>
      <c r="B733" s="6" t="inlineStr">
        <is>
          <t>134,00</t>
        </is>
      </c>
      <c r="C733" s="6" t="inlineStr"/>
      <c r="D733" s="6" t="inlineStr">
        <is>
          <t>CANTONERA ESQUINA MONOCAPA</t>
        </is>
      </c>
      <c r="E733" s="6" t="inlineStr"/>
      <c r="F733" s="6" t="inlineStr">
        <is>
          <t>SIN IMPUTAR</t>
        </is>
      </c>
      <c r="G733" s="4" t="n">
        <v>42</v>
      </c>
    </row>
    <row r="734">
      <c r="A734" s="6" t="inlineStr">
        <is>
          <t>OBRA C/IBIZA, ASPE (CASA CABO)</t>
        </is>
      </c>
      <c r="B734" s="6" t="inlineStr">
        <is>
          <t>57,00</t>
        </is>
      </c>
      <c r="C734" s="6" t="inlineStr"/>
      <c r="D734" s="6" t="inlineStr">
        <is>
          <t>MATERIALES VARIOS</t>
        </is>
      </c>
      <c r="E734" s="6" t="inlineStr"/>
      <c r="F734" s="6" t="inlineStr">
        <is>
          <t>SIN IMPUTAR</t>
        </is>
      </c>
      <c r="G734" s="4" t="n">
        <v>41.56</v>
      </c>
    </row>
    <row r="735">
      <c r="A735" s="6" t="inlineStr">
        <is>
          <t>OBRA C/IBIZA, ASPE (CASA CABO)</t>
        </is>
      </c>
      <c r="B735" s="6" t="inlineStr">
        <is>
          <t>293,00</t>
        </is>
      </c>
      <c r="C735" s="6" t="inlineStr"/>
      <c r="D735" s="6" t="inlineStr">
        <is>
          <t>ALQUITRAN LIQUIDO</t>
        </is>
      </c>
      <c r="E735" s="6" t="inlineStr"/>
      <c r="F735" s="6" t="inlineStr">
        <is>
          <t>SIN IMPUTAR</t>
        </is>
      </c>
      <c r="G735" s="4" t="n">
        <v>39.03</v>
      </c>
    </row>
    <row r="736">
      <c r="A736" s="6" t="inlineStr">
        <is>
          <t>OBRA C/IBIZA, ASPE (CASA CABO)</t>
        </is>
      </c>
      <c r="B736" s="6" t="inlineStr">
        <is>
          <t>258,00</t>
        </is>
      </c>
      <c r="C736" s="6" t="inlineStr"/>
      <c r="D736" s="6" t="inlineStr">
        <is>
          <t>ESPUMA</t>
        </is>
      </c>
      <c r="E736" s="6" t="inlineStr"/>
      <c r="F736" s="6" t="inlineStr">
        <is>
          <t>SIN IMPUTAR</t>
        </is>
      </c>
      <c r="G736" s="4" t="n">
        <v>38.64</v>
      </c>
    </row>
    <row r="737">
      <c r="A737" s="6" t="inlineStr">
        <is>
          <t>OBRA C/IBIZA, ASPE (CASA CABO)</t>
        </is>
      </c>
      <c r="B737" s="6" t="inlineStr">
        <is>
          <t>51,00</t>
        </is>
      </c>
      <c r="C737" s="6" t="inlineStr"/>
      <c r="D737" s="6" t="inlineStr">
        <is>
          <t>MATERIALES VARIOS</t>
        </is>
      </c>
      <c r="E737" s="6" t="inlineStr"/>
      <c r="F737" s="6" t="inlineStr">
        <is>
          <t>SIN IMPUTAR</t>
        </is>
      </c>
      <c r="G737" s="4" t="n">
        <v>34.76</v>
      </c>
    </row>
    <row r="738">
      <c r="A738" s="6" t="inlineStr">
        <is>
          <t>OBRA C/IBIZA, ASPE (CASA CABO)</t>
        </is>
      </c>
      <c r="B738" s="6" t="inlineStr">
        <is>
          <t>434,00</t>
        </is>
      </c>
      <c r="C738" s="6" t="inlineStr"/>
      <c r="D738" s="6" t="inlineStr">
        <is>
          <t>PLASTICO</t>
        </is>
      </c>
      <c r="E738" s="6" t="inlineStr"/>
      <c r="F738" s="6" t="inlineStr">
        <is>
          <t>SIN IMPUTAR</t>
        </is>
      </c>
      <c r="G738" s="4" t="n">
        <v>31.69</v>
      </c>
    </row>
    <row r="739">
      <c r="A739" s="6" t="inlineStr">
        <is>
          <t>OBRA C/IBIZA, ASPE (CASA CABO)</t>
        </is>
      </c>
      <c r="B739" s="6" t="inlineStr">
        <is>
          <t>61,00</t>
        </is>
      </c>
      <c r="C739" s="6" t="inlineStr"/>
      <c r="D739" s="6" t="inlineStr">
        <is>
          <t>SOPLETE</t>
        </is>
      </c>
      <c r="E739" s="6" t="inlineStr"/>
      <c r="F739" s="6" t="inlineStr">
        <is>
          <t>SIN IMPUTAR</t>
        </is>
      </c>
      <c r="G739" s="4" t="n">
        <v>30.51</v>
      </c>
    </row>
    <row r="740">
      <c r="A740" s="6" t="inlineStr">
        <is>
          <t>OBRA C/IBIZA, ASPE (CASA CABO)</t>
        </is>
      </c>
      <c r="B740" s="6" t="inlineStr">
        <is>
          <t>289,00</t>
        </is>
      </c>
      <c r="C740" s="6" t="inlineStr"/>
      <c r="D740" s="6" t="inlineStr">
        <is>
          <t>TUBO CEMENTO</t>
        </is>
      </c>
      <c r="E740" s="6" t="inlineStr"/>
      <c r="F740" s="6" t="inlineStr">
        <is>
          <t>SIN IMPUTAR</t>
        </is>
      </c>
      <c r="G740" s="4" t="n">
        <v>28.53</v>
      </c>
    </row>
    <row r="741">
      <c r="A741" s="6" t="inlineStr">
        <is>
          <t>OBRA C/IBIZA, ASPE (CASA CABO)</t>
        </is>
      </c>
      <c r="B741" s="6" t="inlineStr">
        <is>
          <t>242,00</t>
        </is>
      </c>
      <c r="C741" s="6" t="inlineStr"/>
      <c r="D741" s="6" t="inlineStr">
        <is>
          <t>MATERIAL</t>
        </is>
      </c>
      <c r="E741" s="6" t="inlineStr"/>
      <c r="F741" s="6" t="inlineStr">
        <is>
          <t>SIN IMPUTAR</t>
        </is>
      </c>
      <c r="G741" s="4" t="n">
        <v>26.48</v>
      </c>
    </row>
    <row r="742">
      <c r="A742" s="6" t="inlineStr">
        <is>
          <t>OBRA C/IBIZA, ASPE (CASA CABO)</t>
        </is>
      </c>
      <c r="B742" s="6" t="inlineStr">
        <is>
          <t>123,00</t>
        </is>
      </c>
      <c r="C742" s="6" t="inlineStr"/>
      <c r="D742" s="6" t="inlineStr">
        <is>
          <t>TACO FIJADOR</t>
        </is>
      </c>
      <c r="E742" s="6" t="inlineStr"/>
      <c r="F742" s="6" t="inlineStr">
        <is>
          <t>SIN IMPUTAR</t>
        </is>
      </c>
      <c r="G742" s="4" t="n">
        <v>24.9</v>
      </c>
    </row>
    <row r="743">
      <c r="A743" s="6" t="inlineStr">
        <is>
          <t>OBRA C/IBIZA, ASPE (CASA CABO)</t>
        </is>
      </c>
      <c r="B743" s="6" t="inlineStr">
        <is>
          <t>443,00</t>
        </is>
      </c>
      <c r="C743" s="6" t="inlineStr"/>
      <c r="D743" s="6" t="inlineStr">
        <is>
          <t>PLATICO CORTA FACIL</t>
        </is>
      </c>
      <c r="E743" s="6" t="inlineStr"/>
      <c r="F743" s="6" t="inlineStr">
        <is>
          <t>SIN IMPUTAR</t>
        </is>
      </c>
      <c r="G743" s="4" t="n">
        <v>24.44</v>
      </c>
    </row>
    <row r="744">
      <c r="A744" s="6" t="inlineStr">
        <is>
          <t>OBRA C/IBIZA, ASPE (CASA CABO)</t>
        </is>
      </c>
      <c r="B744" s="6" t="inlineStr">
        <is>
          <t>447,00</t>
        </is>
      </c>
      <c r="C744" s="6" t="inlineStr"/>
      <c r="D744" s="6" t="inlineStr">
        <is>
          <t>TABLERO</t>
        </is>
      </c>
      <c r="E744" s="6" t="inlineStr"/>
      <c r="F744" s="6" t="inlineStr">
        <is>
          <t>SIN IMPUTAR</t>
        </is>
      </c>
      <c r="G744" s="4" t="n">
        <v>23.14</v>
      </c>
    </row>
    <row r="745">
      <c r="A745" s="6" t="inlineStr">
        <is>
          <t>OBRA C/IBIZA, ASPE (CASA CABO)</t>
        </is>
      </c>
      <c r="B745" s="6" t="inlineStr">
        <is>
          <t>42,00</t>
        </is>
      </c>
      <c r="C745" s="6" t="inlineStr"/>
      <c r="D745" s="6" t="inlineStr">
        <is>
          <t>MATERIALES VARIOS</t>
        </is>
      </c>
      <c r="E745" s="6" t="inlineStr"/>
      <c r="F745" s="6" t="inlineStr">
        <is>
          <t>SIN IMPUTAR</t>
        </is>
      </c>
      <c r="G745" s="4" t="n">
        <v>21.03</v>
      </c>
    </row>
    <row r="746">
      <c r="A746" s="6" t="inlineStr">
        <is>
          <t>OBRA C/IBIZA, ASPE (CASA CABO)</t>
        </is>
      </c>
      <c r="B746" s="6" t="inlineStr">
        <is>
          <t>62,00</t>
        </is>
      </c>
      <c r="C746" s="6" t="inlineStr"/>
      <c r="D746" s="6" t="inlineStr">
        <is>
          <t>PEINE ACERO</t>
        </is>
      </c>
      <c r="E746" s="6" t="inlineStr"/>
      <c r="F746" s="6" t="inlineStr">
        <is>
          <t>SIN IMPUTAR</t>
        </is>
      </c>
      <c r="G746" s="4" t="n">
        <v>18.4</v>
      </c>
    </row>
    <row r="747">
      <c r="A747" s="6" t="inlineStr">
        <is>
          <t>OBRA C/IBIZA, ASPE (CASA CABO)</t>
        </is>
      </c>
      <c r="B747" s="6" t="inlineStr">
        <is>
          <t>41,00</t>
        </is>
      </c>
      <c r="C747" s="6" t="inlineStr"/>
      <c r="D747" s="6" t="inlineStr">
        <is>
          <t>MATERIALES VARIOS</t>
        </is>
      </c>
      <c r="E747" s="6" t="inlineStr"/>
      <c r="F747" s="6" t="inlineStr">
        <is>
          <t>SIN IMPUTAR</t>
        </is>
      </c>
      <c r="G747" s="4" t="n">
        <v>18.29</v>
      </c>
    </row>
    <row r="748">
      <c r="A748" s="6" t="inlineStr">
        <is>
          <t>OBRA C/IBIZA, ASPE (CASA CABO)</t>
        </is>
      </c>
      <c r="B748" s="6" t="inlineStr">
        <is>
          <t>429,00</t>
        </is>
      </c>
      <c r="C748" s="6" t="inlineStr"/>
      <c r="D748" s="6" t="inlineStr">
        <is>
          <t>SPRAY</t>
        </is>
      </c>
      <c r="E748" s="6" t="inlineStr"/>
      <c r="F748" s="6" t="inlineStr">
        <is>
          <t>SIN IMPUTAR</t>
        </is>
      </c>
      <c r="G748" s="4" t="n">
        <v>18.17</v>
      </c>
    </row>
    <row r="749">
      <c r="A749" s="6" t="inlineStr">
        <is>
          <t>OBRA C/IBIZA, ASPE (CASA CABO)</t>
        </is>
      </c>
      <c r="B749" s="6" t="inlineStr">
        <is>
          <t>63,00</t>
        </is>
      </c>
      <c r="C749" s="6" t="inlineStr"/>
      <c r="D749" s="6" t="inlineStr">
        <is>
          <t>GAS BUTANO</t>
        </is>
      </c>
      <c r="E749" s="6" t="inlineStr"/>
      <c r="F749" s="6" t="inlineStr">
        <is>
          <t>SIN IMPUTAR</t>
        </is>
      </c>
      <c r="G749" s="4" t="n">
        <v>18.1</v>
      </c>
    </row>
    <row r="750">
      <c r="A750" s="6" t="inlineStr">
        <is>
          <t>OBRA C/IBIZA, ASPE (CASA CABO)</t>
        </is>
      </c>
      <c r="B750" s="6" t="inlineStr">
        <is>
          <t>94,00</t>
        </is>
      </c>
      <c r="C750" s="6" t="inlineStr"/>
      <c r="D750" s="6" t="inlineStr">
        <is>
          <t>GAS BUTANO ENVASADO 12KG</t>
        </is>
      </c>
      <c r="E750" s="6" t="inlineStr"/>
      <c r="F750" s="6" t="inlineStr">
        <is>
          <t>SIN IMPUTAR</t>
        </is>
      </c>
      <c r="G750" s="4" t="n">
        <v>17.56</v>
      </c>
    </row>
    <row r="751">
      <c r="A751" s="6" t="inlineStr">
        <is>
          <t>OBRA C/IBIZA, ASPE (CASA CABO)</t>
        </is>
      </c>
      <c r="B751" s="6" t="inlineStr">
        <is>
          <t>469,00</t>
        </is>
      </c>
      <c r="C751" s="6" t="inlineStr"/>
      <c r="D751" s="6" t="inlineStr">
        <is>
          <t>MATERIAL</t>
        </is>
      </c>
      <c r="E751" s="6" t="inlineStr"/>
      <c r="F751" s="6" t="inlineStr">
        <is>
          <t>SIN IMPUTAR</t>
        </is>
      </c>
      <c r="G751" s="4" t="n">
        <v>16.71</v>
      </c>
    </row>
    <row r="752">
      <c r="A752" s="6" t="inlineStr">
        <is>
          <t>OBRA C/IBIZA, ASPE (CASA CABO)</t>
        </is>
      </c>
      <c r="B752" s="6" t="inlineStr">
        <is>
          <t>519,00</t>
        </is>
      </c>
      <c r="C752" s="6" t="inlineStr"/>
      <c r="D752" s="6" t="inlineStr">
        <is>
          <t>MATERIAL</t>
        </is>
      </c>
      <c r="E752" s="6" t="inlineStr"/>
      <c r="F752" s="6" t="inlineStr">
        <is>
          <t>SIN IMPUTAR</t>
        </is>
      </c>
      <c r="G752" s="4" t="n">
        <v>16.41</v>
      </c>
    </row>
    <row r="753">
      <c r="A753" s="6" t="inlineStr">
        <is>
          <t>OBRA C/IBIZA, ASPE (CASA CABO)</t>
        </is>
      </c>
      <c r="B753" s="6" t="inlineStr">
        <is>
          <t>180,00</t>
        </is>
      </c>
      <c r="C753" s="6" t="inlineStr"/>
      <c r="D753" s="6" t="inlineStr">
        <is>
          <t>SPRAY ANTIOXIDO</t>
        </is>
      </c>
      <c r="E753" s="6" t="inlineStr"/>
      <c r="F753" s="6" t="inlineStr">
        <is>
          <t>SIN IMPUTAR</t>
        </is>
      </c>
      <c r="G753" s="4" t="n">
        <v>15.36</v>
      </c>
    </row>
    <row r="754">
      <c r="A754" s="6" t="inlineStr">
        <is>
          <t>OBRA C/IBIZA, ASPE (CASA CABO)</t>
        </is>
      </c>
      <c r="B754" s="6" t="inlineStr">
        <is>
          <t>245,00</t>
        </is>
      </c>
      <c r="C754" s="6" t="inlineStr"/>
      <c r="D754" s="6" t="inlineStr">
        <is>
          <t>BUTANO</t>
        </is>
      </c>
      <c r="E754" s="6" t="inlineStr"/>
      <c r="F754" s="6" t="inlineStr">
        <is>
          <t>SIN IMPUTAR</t>
        </is>
      </c>
      <c r="G754" s="4" t="n">
        <v>15.04</v>
      </c>
    </row>
    <row r="755">
      <c r="A755" s="6" t="inlineStr">
        <is>
          <t>OBRA C/IBIZA, ASPE (CASA CABO)</t>
        </is>
      </c>
      <c r="B755" s="6" t="inlineStr">
        <is>
          <t>124,00</t>
        </is>
      </c>
      <c r="C755" s="6" t="inlineStr"/>
      <c r="D755" s="6" t="inlineStr">
        <is>
          <t>BUTANO</t>
        </is>
      </c>
      <c r="E755" s="6" t="inlineStr"/>
      <c r="F755" s="6" t="inlineStr">
        <is>
          <t>SIN IMPUTAR</t>
        </is>
      </c>
      <c r="G755" s="4" t="n">
        <v>14.17</v>
      </c>
    </row>
    <row r="756">
      <c r="A756" s="6" t="inlineStr">
        <is>
          <t>OBRA C/IBIZA, ASPE (CASA CABO)</t>
        </is>
      </c>
      <c r="B756" s="6" t="inlineStr">
        <is>
          <t>255,00</t>
        </is>
      </c>
      <c r="C756" s="6" t="inlineStr"/>
      <c r="D756" s="6" t="inlineStr">
        <is>
          <t>MORTERO REFLEXTEN</t>
        </is>
      </c>
      <c r="E756" s="6" t="inlineStr"/>
      <c r="F756" s="6" t="inlineStr">
        <is>
          <t>SIN IMPUTAR</t>
        </is>
      </c>
      <c r="G756" s="4" t="n">
        <v>14.09</v>
      </c>
    </row>
    <row r="757">
      <c r="A757" s="6" t="inlineStr">
        <is>
          <t>OBRA C/IBIZA, ASPE (CASA CABO)</t>
        </is>
      </c>
      <c r="B757" s="6" t="inlineStr">
        <is>
          <t>53,00</t>
        </is>
      </c>
      <c r="C757" s="6" t="inlineStr"/>
      <c r="D757" s="6" t="inlineStr">
        <is>
          <t>BUTANO</t>
        </is>
      </c>
      <c r="E757" s="6" t="inlineStr"/>
      <c r="F757" s="6" t="inlineStr">
        <is>
          <t>SIN IMPUTAR</t>
        </is>
      </c>
      <c r="G757" s="4" t="n">
        <v>14.05</v>
      </c>
    </row>
    <row r="758">
      <c r="A758" s="6" t="inlineStr">
        <is>
          <t>OBRA C/IBIZA, ASPE (CASA CABO)</t>
        </is>
      </c>
      <c r="B758" s="6" t="inlineStr">
        <is>
          <t>131,00</t>
        </is>
      </c>
      <c r="C758" s="6" t="inlineStr"/>
      <c r="D758" s="6" t="inlineStr">
        <is>
          <t>FIBRA POLIPROPILENO HORMIGÓN</t>
        </is>
      </c>
      <c r="E758" s="6" t="inlineStr"/>
      <c r="F758" s="6" t="inlineStr">
        <is>
          <t>SIN IMPUTAR</t>
        </is>
      </c>
      <c r="G758" s="4" t="n">
        <v>12.53</v>
      </c>
    </row>
    <row r="759">
      <c r="A759" s="6" t="inlineStr">
        <is>
          <t>OBRA C/IBIZA, ASPE (CASA CABO)</t>
        </is>
      </c>
      <c r="B759" s="6" t="inlineStr">
        <is>
          <t>296,00</t>
        </is>
      </c>
      <c r="C759" s="6" t="inlineStr"/>
      <c r="D759" s="6" t="inlineStr">
        <is>
          <t>PEGAMENTO ESCAYOLA IBERCOL</t>
        </is>
      </c>
      <c r="E759" s="6" t="inlineStr"/>
      <c r="F759" s="6" t="inlineStr">
        <is>
          <t>SIN IMPUTAR</t>
        </is>
      </c>
      <c r="G759" s="4" t="n">
        <v>11.48</v>
      </c>
    </row>
    <row r="760">
      <c r="A760" s="6" t="inlineStr">
        <is>
          <t>OBRA C/IBIZA, ASPE (CASA CABO)</t>
        </is>
      </c>
      <c r="B760" s="6" t="inlineStr">
        <is>
          <t>56,00</t>
        </is>
      </c>
      <c r="C760" s="6" t="inlineStr"/>
      <c r="D760" s="6" t="inlineStr">
        <is>
          <t>MATERIALES VARIOS</t>
        </is>
      </c>
      <c r="E760" s="6" t="inlineStr"/>
      <c r="F760" s="6" t="inlineStr">
        <is>
          <t>SIN IMPUTAR</t>
        </is>
      </c>
      <c r="G760" s="4" t="n">
        <v>8.18</v>
      </c>
    </row>
    <row r="761">
      <c r="A761" s="6" t="inlineStr">
        <is>
          <t>OBRA C/IBIZA, ASPE (CASA CABO)</t>
        </is>
      </c>
      <c r="B761" s="6" t="inlineStr">
        <is>
          <t>246,00</t>
        </is>
      </c>
      <c r="C761" s="6" t="inlineStr"/>
      <c r="D761" s="6" t="inlineStr">
        <is>
          <t>MATERIAL</t>
        </is>
      </c>
      <c r="E761" s="6" t="inlineStr"/>
      <c r="F761" s="6" t="inlineStr">
        <is>
          <t>SIN IMPUTAR</t>
        </is>
      </c>
      <c r="G761" s="4" t="n">
        <v>8.08</v>
      </c>
    </row>
    <row r="762">
      <c r="A762" s="6" t="inlineStr">
        <is>
          <t>OBRA C/IBIZA, ASPE (CASA CABO)</t>
        </is>
      </c>
      <c r="B762" s="6" t="inlineStr">
        <is>
          <t>69,00</t>
        </is>
      </c>
      <c r="C762" s="6" t="inlineStr"/>
      <c r="D762" s="6" t="inlineStr">
        <is>
          <t>VARIOS</t>
        </is>
      </c>
      <c r="E762" s="6" t="inlineStr"/>
      <c r="F762" s="6" t="inlineStr">
        <is>
          <t>SIN IMPUTAR</t>
        </is>
      </c>
      <c r="G762" s="4" t="n">
        <v>6.74</v>
      </c>
    </row>
    <row r="763">
      <c r="A763" s="6" t="inlineStr">
        <is>
          <t>OBRA C/IBIZA, ASPE (CASA CABO)</t>
        </is>
      </c>
      <c r="B763" s="6" t="inlineStr">
        <is>
          <t>471,00</t>
        </is>
      </c>
      <c r="C763" s="6" t="inlineStr"/>
      <c r="D763" s="6" t="inlineStr">
        <is>
          <t>TAPÓN Y TUBERÍA</t>
        </is>
      </c>
      <c r="E763" s="6" t="inlineStr"/>
      <c r="F763" s="6" t="inlineStr">
        <is>
          <t>SIN IMPUTAR</t>
        </is>
      </c>
      <c r="G763" s="4" t="n">
        <v>6.01</v>
      </c>
    </row>
    <row r="764">
      <c r="A764" s="6" t="inlineStr">
        <is>
          <t>OBRA C/IBIZA, ASPE (CASA CABO)</t>
        </is>
      </c>
      <c r="B764" s="6" t="inlineStr">
        <is>
          <t>202,00</t>
        </is>
      </c>
      <c r="C764" s="6" t="inlineStr"/>
      <c r="D764" s="6" t="inlineStr">
        <is>
          <t>MATERIAL</t>
        </is>
      </c>
      <c r="E764" s="6" t="inlineStr"/>
      <c r="F764" s="6" t="inlineStr">
        <is>
          <t>SIN IMPUTAR</t>
        </is>
      </c>
      <c r="G764" s="4" t="n">
        <v>5.87</v>
      </c>
    </row>
    <row r="765">
      <c r="A765" s="6" t="inlineStr">
        <is>
          <t>OBRA C/IBIZA, ASPE (CASA CABO)</t>
        </is>
      </c>
      <c r="B765" s="6" t="inlineStr">
        <is>
          <t>354,00</t>
        </is>
      </c>
      <c r="C765" s="6" t="inlineStr"/>
      <c r="D765" s="6" t="inlineStr">
        <is>
          <t>JUNTA COLOR</t>
        </is>
      </c>
      <c r="E765" s="6" t="inlineStr"/>
      <c r="F765" s="6" t="inlineStr">
        <is>
          <t>SIN IMPUTAR</t>
        </is>
      </c>
      <c r="G765" s="4" t="n">
        <v>4.2</v>
      </c>
    </row>
    <row r="766">
      <c r="A766" s="6" t="inlineStr">
        <is>
          <t>OBRA C/SANTA ROSA, MURCIA</t>
        </is>
      </c>
      <c r="B766" s="6" t="inlineStr">
        <is>
          <t>1.121,00</t>
        </is>
      </c>
      <c r="C766" s="6" t="inlineStr">
        <is>
          <t>12/03/2026</t>
        </is>
      </c>
      <c r="D766" s="6" t="inlineStr">
        <is>
          <t>PLADUR</t>
        </is>
      </c>
      <c r="E766" s="6" t="inlineStr">
        <is>
          <t>FRANCISCO JOSE BERMEJO ROSA</t>
        </is>
      </c>
      <c r="F766" s="6" t="inlineStr">
        <is>
          <t>IMPUTADO</t>
        </is>
      </c>
      <c r="G766" s="4" t="n">
        <v>2940</v>
      </c>
    </row>
    <row r="767">
      <c r="A767" s="6" t="inlineStr">
        <is>
          <t>OBRA C/SANTA ROSA, MURCIA</t>
        </is>
      </c>
      <c r="B767" s="6" t="inlineStr">
        <is>
          <t>610,00</t>
        </is>
      </c>
      <c r="C767" s="6" t="inlineStr">
        <is>
          <t>16/02/2026</t>
        </is>
      </c>
      <c r="D767" s="6" t="inlineStr">
        <is>
          <t>INSTALACIÓN ELÉCTRICA EN VIVIENDA Y BOLETÍN</t>
        </is>
      </c>
      <c r="E767" s="6" t="inlineStr">
        <is>
          <t>MOVE2GO SL.</t>
        </is>
      </c>
      <c r="F767" s="6" t="inlineStr">
        <is>
          <t>IMPUTADO</t>
        </is>
      </c>
      <c r="G767" s="4" t="n">
        <v>1488</v>
      </c>
    </row>
    <row r="768">
      <c r="A768" s="6" t="inlineStr">
        <is>
          <t>OBRA C/SANTA ROSA, MURCIA</t>
        </is>
      </c>
      <c r="B768" s="6" t="inlineStr">
        <is>
          <t>1.267,00</t>
        </is>
      </c>
      <c r="C768" s="6" t="inlineStr">
        <is>
          <t>28/04/2026</t>
        </is>
      </c>
      <c r="D768" s="6" t="inlineStr">
        <is>
          <t>COLOCACIÓN TARIMA</t>
        </is>
      </c>
      <c r="E768" s="6" t="inlineStr">
        <is>
          <t>OSCAR DAINEL NUÑEZ BOBADILLA</t>
        </is>
      </c>
      <c r="F768" s="6" t="inlineStr">
        <is>
          <t>IMPUTADO</t>
        </is>
      </c>
      <c r="G768" s="4" t="n">
        <v>1180</v>
      </c>
    </row>
    <row r="769">
      <c r="A769" s="6" t="inlineStr">
        <is>
          <t>OBRA C/SANTA ROSA, MURCIA</t>
        </is>
      </c>
      <c r="B769" s="6" t="inlineStr">
        <is>
          <t>1.178,00</t>
        </is>
      </c>
      <c r="C769" s="6" t="inlineStr">
        <is>
          <t>02/04/2026</t>
        </is>
      </c>
      <c r="D769" s="6" t="inlineStr">
        <is>
          <t>Mano de Obra Tarima #tarima, puertas</t>
        </is>
      </c>
      <c r="E769" s="6" t="inlineStr">
        <is>
          <t>ION NITU</t>
        </is>
      </c>
      <c r="F769" s="6" t="inlineStr">
        <is>
          <t>IMPUTADO</t>
        </is>
      </c>
      <c r="G769" s="4" t="n">
        <v>1080</v>
      </c>
    </row>
    <row r="770">
      <c r="A770" s="6" t="inlineStr">
        <is>
          <t>OBRA C/SANTA ROSA, MURCIA</t>
        </is>
      </c>
      <c r="B770" s="6" t="inlineStr">
        <is>
          <t>598,00</t>
        </is>
      </c>
      <c r="C770" s="6" t="inlineStr">
        <is>
          <t>03/03/2026</t>
        </is>
      </c>
      <c r="D770" s="6" t="inlineStr">
        <is>
          <t>MASILLA PARA ALISAR</t>
        </is>
      </c>
      <c r="E770" s="6" t="inlineStr">
        <is>
          <t>DECOBRIC SANZ SL</t>
        </is>
      </c>
      <c r="F770" s="6" t="inlineStr">
        <is>
          <t>IMPUTADO</t>
        </is>
      </c>
      <c r="G770" s="4" t="n">
        <v>726</v>
      </c>
    </row>
    <row r="771">
      <c r="A771" s="6" t="inlineStr">
        <is>
          <t>OBRA C/SANTA ROSA, MURCIA</t>
        </is>
      </c>
      <c r="B771" s="6" t="inlineStr">
        <is>
          <t>1.180,00</t>
        </is>
      </c>
      <c r="C771" s="6" t="inlineStr">
        <is>
          <t>31/03/2026</t>
        </is>
      </c>
      <c r="D771" s="6" t="inlineStr">
        <is>
          <t>PINTURA</t>
        </is>
      </c>
      <c r="E771" s="6" t="inlineStr">
        <is>
          <t>DECOBRIC SANZ SL</t>
        </is>
      </c>
      <c r="F771" s="6" t="inlineStr">
        <is>
          <t>IMPUTADO</t>
        </is>
      </c>
      <c r="G771" s="4" t="n">
        <v>470.35</v>
      </c>
    </row>
    <row r="772">
      <c r="A772" s="6" t="inlineStr">
        <is>
          <t>OBRA C/SANTA ROSA, MURCIA</t>
        </is>
      </c>
      <c r="B772" s="6" t="inlineStr">
        <is>
          <t>619,00</t>
        </is>
      </c>
      <c r="C772" s="6" t="inlineStr">
        <is>
          <t>16/02/2026</t>
        </is>
      </c>
      <c r="D772" s="6" t="inlineStr">
        <is>
          <t>CONTENEDORES</t>
        </is>
      </c>
      <c r="E772" s="6" t="inlineStr">
        <is>
          <t>CONTENEDORES REUNIDOS SL</t>
        </is>
      </c>
      <c r="F772" s="6" t="inlineStr">
        <is>
          <t>IMPUTADO</t>
        </is>
      </c>
      <c r="G772" s="4" t="n">
        <v>435</v>
      </c>
    </row>
    <row r="773">
      <c r="A773" s="6" t="inlineStr">
        <is>
          <t>OBRA C/SANTA ROSA, MURCIA</t>
        </is>
      </c>
      <c r="B773" s="6" t="inlineStr">
        <is>
          <t>879,00</t>
        </is>
      </c>
      <c r="C773" s="6" t="inlineStr">
        <is>
          <t>03/03/2026</t>
        </is>
      </c>
      <c r="D773" s="6" t="inlineStr">
        <is>
          <t>LEROY MERLIN (PRESUPUESTO 606525)</t>
        </is>
      </c>
      <c r="E773" s="6" t="inlineStr">
        <is>
          <t>LEROY MERLIN ESPAÑA SL</t>
        </is>
      </c>
      <c r="F773" s="6" t="inlineStr">
        <is>
          <t>IMPUTADO</t>
        </is>
      </c>
      <c r="G773" s="4" t="n">
        <v>345.13</v>
      </c>
    </row>
    <row r="774">
      <c r="A774" s="6" t="inlineStr">
        <is>
          <t>OBRA C/SANTA ROSA, MURCIA</t>
        </is>
      </c>
      <c r="B774" s="6" t="inlineStr">
        <is>
          <t>615,00</t>
        </is>
      </c>
      <c r="C774" s="6" t="inlineStr">
        <is>
          <t>03/03/2026</t>
        </is>
      </c>
      <c r="D774" s="6" t="inlineStr">
        <is>
          <t>MATERIAL OBRA</t>
        </is>
      </c>
      <c r="E774" s="6" t="inlineStr">
        <is>
          <t>BRICOLAJE BRICOMAN SLU</t>
        </is>
      </c>
      <c r="F774" s="6" t="inlineStr">
        <is>
          <t>IMPUTADO</t>
        </is>
      </c>
      <c r="G774" s="4" t="n">
        <v>179.86</v>
      </c>
    </row>
    <row r="775">
      <c r="A775" s="6" t="inlineStr">
        <is>
          <t>OBRA C/SANTA ROSA, MURCIA</t>
        </is>
      </c>
      <c r="B775" s="6" t="inlineStr">
        <is>
          <t>603,00</t>
        </is>
      </c>
      <c r="C775" s="6" t="inlineStr">
        <is>
          <t>03/03/2026</t>
        </is>
      </c>
      <c r="D775" s="6" t="inlineStr">
        <is>
          <t>PREMARCOS</t>
        </is>
      </c>
      <c r="E775" s="6" t="inlineStr">
        <is>
          <t>CARPINTERIA EBANISTERIA BAMBU SL.</t>
        </is>
      </c>
      <c r="F775" s="6" t="inlineStr">
        <is>
          <t>IMPUTADO</t>
        </is>
      </c>
      <c r="G775" s="4" t="n">
        <v>160</v>
      </c>
    </row>
    <row r="776">
      <c r="A776" s="6" t="inlineStr">
        <is>
          <t>OBRA C/SANTA ROSA, MURCIA</t>
        </is>
      </c>
      <c r="B776" s="6" t="inlineStr">
        <is>
          <t>840,00</t>
        </is>
      </c>
      <c r="C776" s="6" t="inlineStr">
        <is>
          <t>19/02/2026</t>
        </is>
      </c>
      <c r="D776" s="6" t="inlineStr">
        <is>
          <t>PLATO DUCHA (MEJORA + 20%)</t>
        </is>
      </c>
      <c r="E776" s="6" t="inlineStr">
        <is>
          <t>LEROY MERLIN ESPAÑA SL</t>
        </is>
      </c>
      <c r="F776" s="6" t="inlineStr">
        <is>
          <t>IMPUTADO</t>
        </is>
      </c>
      <c r="G776" s="4" t="n">
        <v>156.16</v>
      </c>
    </row>
    <row r="777">
      <c r="A777" s="6" t="inlineStr">
        <is>
          <t>OBRA C/SANTA ROSA, MURCIA</t>
        </is>
      </c>
      <c r="B777" s="6" t="inlineStr">
        <is>
          <t>1.116,00</t>
        </is>
      </c>
      <c r="C777" s="6" t="inlineStr">
        <is>
          <t>12/03/2026</t>
        </is>
      </c>
      <c r="D777" s="6" t="inlineStr">
        <is>
          <t>CONTENEDORES</t>
        </is>
      </c>
      <c r="E777" s="6" t="inlineStr">
        <is>
          <t>CONTENEDORES REUNIDOS SL</t>
        </is>
      </c>
      <c r="F777" s="6" t="inlineStr">
        <is>
          <t>IMPUTADO</t>
        </is>
      </c>
      <c r="G777" s="4" t="n">
        <v>145</v>
      </c>
    </row>
    <row r="778">
      <c r="A778" s="6" t="inlineStr">
        <is>
          <t>OBRA C/SANTA ROSA, MURCIA</t>
        </is>
      </c>
      <c r="B778" s="6" t="inlineStr">
        <is>
          <t>1.135,00</t>
        </is>
      </c>
      <c r="C778" s="6" t="inlineStr">
        <is>
          <t>16/03/2026</t>
        </is>
      </c>
      <c r="D778" s="6" t="inlineStr">
        <is>
          <t>MATERIAL OBRA</t>
        </is>
      </c>
      <c r="E778" s="6" t="inlineStr">
        <is>
          <t>BRICOLAJE BRICOMAN SLU</t>
        </is>
      </c>
      <c r="F778" s="6" t="inlineStr">
        <is>
          <t>IMPUTADO</t>
        </is>
      </c>
      <c r="G778" s="4" t="n">
        <v>86.63</v>
      </c>
    </row>
    <row r="779">
      <c r="A779" s="6" t="inlineStr">
        <is>
          <t>OBRA C/SANTA ROSA, MURCIA</t>
        </is>
      </c>
      <c r="B779" s="6" t="inlineStr">
        <is>
          <t>1.223,00</t>
        </is>
      </c>
      <c r="C779" s="6" t="inlineStr">
        <is>
          <t>02/04/2026</t>
        </is>
      </c>
      <c r="D779" s="6" t="inlineStr">
        <is>
          <t>PINTURA</t>
        </is>
      </c>
      <c r="E779" s="6" t="inlineStr">
        <is>
          <t>DECOBRIC SANZ SL</t>
        </is>
      </c>
      <c r="F779" s="6" t="inlineStr">
        <is>
          <t>IMPUTADO</t>
        </is>
      </c>
      <c r="G779" s="4" t="n">
        <v>76.5</v>
      </c>
    </row>
    <row r="780">
      <c r="A780" s="6" t="inlineStr">
        <is>
          <t>OBRA C/SANTA ROSA, MURCIA</t>
        </is>
      </c>
      <c r="B780" s="6" t="inlineStr">
        <is>
          <t>1.155,00</t>
        </is>
      </c>
      <c r="C780" s="6" t="inlineStr">
        <is>
          <t>20/03/2026</t>
        </is>
      </c>
      <c r="D780" s="6" t="inlineStr">
        <is>
          <t>ARENA MEZCLA / YESO CONTROL PLACO / WEBERCOL FLEX DUO / # ALBAÑILERIA - MATERIAL</t>
        </is>
      </c>
      <c r="E780" s="6" t="inlineStr">
        <is>
          <t>BRICOLAJE BRICOMAN SLU</t>
        </is>
      </c>
      <c r="F780" s="6" t="inlineStr">
        <is>
          <t>IMPUTADO</t>
        </is>
      </c>
      <c r="G780" s="4" t="n">
        <v>72.48</v>
      </c>
    </row>
    <row r="781">
      <c r="A781" s="6" t="inlineStr">
        <is>
          <t>OBRA C/SANTA ROSA, MURCIA</t>
        </is>
      </c>
      <c r="B781" s="6" t="inlineStr">
        <is>
          <t>597,00</t>
        </is>
      </c>
      <c r="C781" s="6" t="inlineStr">
        <is>
          <t>03/03/2026</t>
        </is>
      </c>
      <c r="D781" s="6" t="inlineStr">
        <is>
          <t>DICOS ABRANET 225mm</t>
        </is>
      </c>
      <c r="E781" s="6" t="inlineStr"/>
      <c r="F781" s="6" t="inlineStr">
        <is>
          <t>IMPUTADO</t>
        </is>
      </c>
      <c r="G781" s="4" t="n">
        <v>71.78</v>
      </c>
    </row>
    <row r="782">
      <c r="A782" s="6" t="inlineStr">
        <is>
          <t>OBRA C/SANTA ROSA, MURCIA</t>
        </is>
      </c>
      <c r="B782" s="6" t="inlineStr">
        <is>
          <t>1.212,00</t>
        </is>
      </c>
      <c r="C782" s="6" t="inlineStr">
        <is>
          <t>02/04/2026</t>
        </is>
      </c>
      <c r="D782" s="6" t="inlineStr">
        <is>
          <t>PINTURA</t>
        </is>
      </c>
      <c r="E782" s="6" t="inlineStr">
        <is>
          <t>DECOBRIC SANZ SL</t>
        </is>
      </c>
      <c r="F782" s="6" t="inlineStr">
        <is>
          <t>IMPUTADO</t>
        </is>
      </c>
      <c r="G782" s="4" t="n">
        <v>60.33</v>
      </c>
    </row>
    <row r="783">
      <c r="A783" s="6" t="inlineStr">
        <is>
          <t>OBRA C/SANTA ROSA, MURCIA</t>
        </is>
      </c>
      <c r="B783" s="6" t="inlineStr">
        <is>
          <t>841,00</t>
        </is>
      </c>
      <c r="C783" s="6" t="inlineStr">
        <is>
          <t>19/02/2026</t>
        </is>
      </c>
      <c r="D783" s="6" t="inlineStr">
        <is>
          <t>CERROJO SEGURIDAD (MEJORA + 20%) ENEL CERROJO</t>
        </is>
      </c>
      <c r="E783" s="6" t="inlineStr">
        <is>
          <t>FERRETERIA SANTIAGO EL MAYOR</t>
        </is>
      </c>
      <c r="F783" s="6" t="inlineStr">
        <is>
          <t>IMPUTADO</t>
        </is>
      </c>
      <c r="G783" s="4" t="n">
        <v>59.13</v>
      </c>
    </row>
    <row r="784">
      <c r="A784" s="6" t="inlineStr">
        <is>
          <t>OBRA C/SANTA ROSA, MURCIA</t>
        </is>
      </c>
      <c r="B784" s="6" t="inlineStr">
        <is>
          <t>614,00</t>
        </is>
      </c>
      <c r="C784" s="6" t="inlineStr">
        <is>
          <t>03/03/2026</t>
        </is>
      </c>
      <c r="D784" s="6" t="inlineStr">
        <is>
          <t>MATERIAL OBRA</t>
        </is>
      </c>
      <c r="E784" s="6" t="inlineStr">
        <is>
          <t>BRICOLAJE BRICOMAN SLU</t>
        </is>
      </c>
      <c r="F784" s="6" t="inlineStr">
        <is>
          <t>IMPUTADO</t>
        </is>
      </c>
      <c r="G784" s="4" t="n">
        <v>53.17</v>
      </c>
    </row>
    <row r="785">
      <c r="A785" s="6" t="inlineStr">
        <is>
          <t>OBRA C/SANTA ROSA, MURCIA</t>
        </is>
      </c>
      <c r="B785" s="6" t="inlineStr">
        <is>
          <t>814,00</t>
        </is>
      </c>
      <c r="C785" s="6" t="inlineStr">
        <is>
          <t>25/02/2026</t>
        </is>
      </c>
      <c r="D785" s="6" t="inlineStr">
        <is>
          <t>GRAVA / ARENA BCO / CEMENTO / YEO CONTROL #ALBAÑILERIA - MATERIAL</t>
        </is>
      </c>
      <c r="E785" s="6" t="inlineStr">
        <is>
          <t>BRICOLAJE BRICOMAN SLU</t>
        </is>
      </c>
      <c r="F785" s="6" t="inlineStr">
        <is>
          <t>IMPUTADO</t>
        </is>
      </c>
      <c r="G785" s="4" t="n">
        <v>51.94</v>
      </c>
    </row>
    <row r="786">
      <c r="A786" s="6" t="inlineStr">
        <is>
          <t>OBRA C/SANTA ROSA, MURCIA</t>
        </is>
      </c>
      <c r="B786" s="6" t="inlineStr">
        <is>
          <t>1.248,00</t>
        </is>
      </c>
      <c r="C786" s="6" t="inlineStr">
        <is>
          <t>10/06/2026</t>
        </is>
      </c>
      <c r="D786" s="6" t="inlineStr">
        <is>
          <t>ARREGLO PERSINAA</t>
        </is>
      </c>
      <c r="E786" s="6" t="inlineStr">
        <is>
          <t>TABLEROS Y PUERTAS MORENO SL</t>
        </is>
      </c>
      <c r="F786" s="6" t="inlineStr">
        <is>
          <t>IMPUTADO</t>
        </is>
      </c>
      <c r="G786" s="4" t="n">
        <v>45.73</v>
      </c>
    </row>
    <row r="787">
      <c r="A787" s="6" t="inlineStr">
        <is>
          <t>OBRA C/SANTA ROSA, MURCIA</t>
        </is>
      </c>
      <c r="B787" s="6" t="inlineStr">
        <is>
          <t>1.508,00</t>
        </is>
      </c>
      <c r="C787" s="6" t="inlineStr">
        <is>
          <t>05/05/2026</t>
        </is>
      </c>
      <c r="D787" s="6" t="inlineStr">
        <is>
          <t>MATERIAL OBRA</t>
        </is>
      </c>
      <c r="E787" s="6" t="inlineStr">
        <is>
          <t>LEROY MERLIN ESPAÑA SL</t>
        </is>
      </c>
      <c r="F787" s="6" t="inlineStr">
        <is>
          <t>IMPUTADO</t>
        </is>
      </c>
      <c r="G787" s="4" t="n">
        <v>45.32</v>
      </c>
    </row>
    <row r="788">
      <c r="A788" s="6" t="inlineStr">
        <is>
          <t>OBRA C/SANTA ROSA, MURCIA</t>
        </is>
      </c>
      <c r="B788" s="6" t="inlineStr">
        <is>
          <t>1.099,00</t>
        </is>
      </c>
      <c r="C788" s="6" t="inlineStr">
        <is>
          <t>12/03/2026</t>
        </is>
      </c>
      <c r="D788" s="6" t="inlineStr">
        <is>
          <t>TUBO EXTRACCIÓN</t>
        </is>
      </c>
      <c r="E788" s="6" t="inlineStr">
        <is>
          <t>LEROY MERLIN ESPAÑA SL</t>
        </is>
      </c>
      <c r="F788" s="6" t="inlineStr">
        <is>
          <t>IMPUTADO</t>
        </is>
      </c>
      <c r="G788" s="4" t="n">
        <v>37.84</v>
      </c>
    </row>
    <row r="789">
      <c r="A789" s="6" t="inlineStr">
        <is>
          <t>OBRA C/SANTA ROSA, MURCIA</t>
        </is>
      </c>
      <c r="B789" s="6" t="inlineStr">
        <is>
          <t>1.221,00</t>
        </is>
      </c>
      <c r="C789" s="6" t="inlineStr">
        <is>
          <t>02/04/2026</t>
        </is>
      </c>
      <c r="D789" s="6" t="inlineStr">
        <is>
          <t>MATERIAL OBRA</t>
        </is>
      </c>
      <c r="E789" s="6" t="inlineStr">
        <is>
          <t>FERRETERIA SANTIAGO EL MAYOR</t>
        </is>
      </c>
      <c r="F789" s="6" t="inlineStr">
        <is>
          <t>IMPUTADO</t>
        </is>
      </c>
      <c r="G789" s="4" t="n">
        <v>34.46</v>
      </c>
    </row>
    <row r="790">
      <c r="A790" s="6" t="inlineStr">
        <is>
          <t>OBRA C/SANTA ROSA, MURCIA</t>
        </is>
      </c>
      <c r="B790" s="6" t="inlineStr">
        <is>
          <t>1.229,00</t>
        </is>
      </c>
      <c r="C790" s="6" t="inlineStr">
        <is>
          <t>02/04/2026</t>
        </is>
      </c>
      <c r="D790" s="6" t="inlineStr">
        <is>
          <t>MATERIAL OBRA #mejora</t>
        </is>
      </c>
      <c r="E790" s="6" t="inlineStr">
        <is>
          <t>LEROY MERLIN ESPAÑA SL</t>
        </is>
      </c>
      <c r="F790" s="6" t="inlineStr">
        <is>
          <t>IMPUTADO</t>
        </is>
      </c>
      <c r="G790" s="4" t="n">
        <v>33.12</v>
      </c>
    </row>
    <row r="791">
      <c r="A791" s="6" t="inlineStr">
        <is>
          <t>OBRA C/SANTA ROSA, MURCIA</t>
        </is>
      </c>
      <c r="B791" s="6" t="inlineStr">
        <is>
          <t>1.213,00</t>
        </is>
      </c>
      <c r="C791" s="6" t="inlineStr">
        <is>
          <t>02/04/2026</t>
        </is>
      </c>
      <c r="D791" s="6" t="inlineStr">
        <is>
          <t>MORAFOND-LIMPIEZA SALITRE  OXIDOO #mejora</t>
        </is>
      </c>
      <c r="E791" s="6" t="inlineStr">
        <is>
          <t>DECOBRIC SANZ SL</t>
        </is>
      </c>
      <c r="F791" s="6" t="inlineStr">
        <is>
          <t>IMPUTADO</t>
        </is>
      </c>
      <c r="G791" s="4" t="n">
        <v>21.66</v>
      </c>
    </row>
    <row r="792">
      <c r="A792" s="6" t="inlineStr">
        <is>
          <t>OBRA C/SANTA ROSA, MURCIA</t>
        </is>
      </c>
      <c r="B792" s="6" t="inlineStr">
        <is>
          <t>1.263,00</t>
        </is>
      </c>
      <c r="C792" s="6" t="inlineStr">
        <is>
          <t>28/04/2026</t>
        </is>
      </c>
      <c r="D792" s="6" t="inlineStr">
        <is>
          <t>PISTOLA SILICONA, BOCA EXTRACCION</t>
        </is>
      </c>
      <c r="E792" s="6" t="inlineStr">
        <is>
          <t>BRICOLAJE BRICOMAN SLU</t>
        </is>
      </c>
      <c r="F792" s="6" t="inlineStr">
        <is>
          <t>IMPUTADO</t>
        </is>
      </c>
      <c r="G792" s="4" t="n">
        <v>20.46</v>
      </c>
    </row>
    <row r="793">
      <c r="A793" s="6" t="inlineStr">
        <is>
          <t>OBRA C/SANTA ROSA, MURCIA</t>
        </is>
      </c>
      <c r="B793" s="6" t="inlineStr">
        <is>
          <t>1.269,00</t>
        </is>
      </c>
      <c r="C793" s="6" t="inlineStr">
        <is>
          <t>28/04/2026</t>
        </is>
      </c>
      <c r="D793" s="6" t="inlineStr">
        <is>
          <t>MATERIAL</t>
        </is>
      </c>
      <c r="E793" s="6" t="inlineStr">
        <is>
          <t>LEROY MERLIN ESPAÑA SL</t>
        </is>
      </c>
      <c r="F793" s="6" t="inlineStr">
        <is>
          <t>IMPUTADO</t>
        </is>
      </c>
      <c r="G793" s="4" t="n">
        <v>17.83</v>
      </c>
    </row>
    <row r="794">
      <c r="A794" s="6" t="inlineStr">
        <is>
          <t>OBRA C/SANTA ROSA, MURCIA</t>
        </is>
      </c>
      <c r="B794" s="6" t="inlineStr">
        <is>
          <t>1.224,00</t>
        </is>
      </c>
      <c r="C794" s="6" t="inlineStr">
        <is>
          <t>02/04/2026</t>
        </is>
      </c>
      <c r="D794" s="6" t="inlineStr">
        <is>
          <t>PINTURA</t>
        </is>
      </c>
      <c r="E794" s="6" t="inlineStr">
        <is>
          <t>DECOBRIC SANZ SL</t>
        </is>
      </c>
      <c r="F794" s="6" t="inlineStr">
        <is>
          <t>IMPUTADO</t>
        </is>
      </c>
      <c r="G794" s="4" t="n">
        <v>17.83</v>
      </c>
    </row>
    <row r="795">
      <c r="A795" s="6" t="inlineStr">
        <is>
          <t>OBRA C/SANTA ROSA, MURCIA</t>
        </is>
      </c>
      <c r="B795" s="6" t="inlineStr">
        <is>
          <t>1.204,00</t>
        </is>
      </c>
      <c r="C795" s="6" t="inlineStr">
        <is>
          <t>02/04/2026</t>
        </is>
      </c>
      <c r="D795" s="6" t="inlineStr">
        <is>
          <t>ADH ACRILICO - ESPUMA TEJAS #mejora</t>
        </is>
      </c>
      <c r="E795" s="6" t="inlineStr">
        <is>
          <t>LEROY MERLIN ESPAÑA SL</t>
        </is>
      </c>
      <c r="F795" s="6" t="inlineStr">
        <is>
          <t>IMPUTADO</t>
        </is>
      </c>
      <c r="G795" s="4" t="n">
        <v>15.29</v>
      </c>
    </row>
    <row r="796">
      <c r="A796" s="6" t="inlineStr">
        <is>
          <t>OBRA C/SANTA ROSA, MURCIA</t>
        </is>
      </c>
      <c r="B796" s="6" t="inlineStr">
        <is>
          <t>812,00</t>
        </is>
      </c>
      <c r="C796" s="6" t="inlineStr">
        <is>
          <t>25/02/2026</t>
        </is>
      </c>
      <c r="D796" s="6" t="inlineStr">
        <is>
          <t>TUVO PVC VARIOS #ALBAÑILERIA - MATERIAL</t>
        </is>
      </c>
      <c r="E796" s="6" t="inlineStr">
        <is>
          <t>BRICOLAJE BRICOMAN SLU</t>
        </is>
      </c>
      <c r="F796" s="6" t="inlineStr">
        <is>
          <t>IMPUTADO</t>
        </is>
      </c>
      <c r="G796" s="4" t="n">
        <v>14.2</v>
      </c>
    </row>
    <row r="797">
      <c r="A797" s="6" t="inlineStr">
        <is>
          <t>OBRA C/SANTA ROSA, MURCIA</t>
        </is>
      </c>
      <c r="B797" s="6" t="inlineStr">
        <is>
          <t>1.247,00</t>
        </is>
      </c>
      <c r="C797" s="6" t="inlineStr">
        <is>
          <t>10/06/2026</t>
        </is>
      </c>
      <c r="D797" s="6" t="inlineStr">
        <is>
          <t>MATERIAL PERSIANA #mejora pintura</t>
        </is>
      </c>
      <c r="E797" s="6" t="inlineStr">
        <is>
          <t>FERRETERIA SANTIAGO EL MAYOR</t>
        </is>
      </c>
      <c r="F797" s="6" t="inlineStr">
        <is>
          <t>IMPUTADO</t>
        </is>
      </c>
      <c r="G797" s="4" t="n">
        <v>8.550000000000001</v>
      </c>
    </row>
    <row r="798">
      <c r="A798" s="6" t="inlineStr">
        <is>
          <t>OBRA C/ÁNGEL, MURCIA (SEÑORIO DEL CARMEN)</t>
        </is>
      </c>
      <c r="B798" s="6" t="inlineStr">
        <is>
          <t>572,00</t>
        </is>
      </c>
      <c r="C798" s="6" t="inlineStr">
        <is>
          <t>03/03/2026</t>
        </is>
      </c>
      <c r="D798" s="6" t="inlineStr">
        <is>
          <t>CONTENEDORES</t>
        </is>
      </c>
      <c r="E798" s="6" t="inlineStr">
        <is>
          <t>RECICLESAN SL</t>
        </is>
      </c>
      <c r="F798" s="6" t="inlineStr">
        <is>
          <t>IMPUTADO</t>
        </is>
      </c>
      <c r="G798" s="4" t="n">
        <v>1705.85</v>
      </c>
    </row>
    <row r="799">
      <c r="A799" s="6" t="inlineStr">
        <is>
          <t>OBRA C/ÁNGEL, MURCIA (SEÑORIO DEL CARMEN)</t>
        </is>
      </c>
      <c r="B799" s="6" t="inlineStr">
        <is>
          <t>546,00</t>
        </is>
      </c>
      <c r="C799" s="6" t="inlineStr">
        <is>
          <t>02/03/2026</t>
        </is>
      </c>
      <c r="D799" s="6" t="inlineStr">
        <is>
          <t>MINI Y CONTENEDORES</t>
        </is>
      </c>
      <c r="E799" s="6" t="inlineStr">
        <is>
          <t>FRANCISO JAVIER SERNA GALVEZ</t>
        </is>
      </c>
      <c r="F799" s="6" t="inlineStr">
        <is>
          <t>IMPUTADO</t>
        </is>
      </c>
      <c r="G799" s="4" t="n">
        <v>1340</v>
      </c>
    </row>
    <row r="800">
      <c r="A800" s="6" t="inlineStr">
        <is>
          <t>OBRA C/ÁNGEL, MURCIA (SEÑORIO DEL CARMEN)</t>
        </is>
      </c>
      <c r="B800" s="6" t="inlineStr">
        <is>
          <t>570,00</t>
        </is>
      </c>
      <c r="C800" s="6" t="inlineStr">
        <is>
          <t>03/03/2026</t>
        </is>
      </c>
      <c r="D800" s="6" t="inlineStr">
        <is>
          <t>CONTENEDORES</t>
        </is>
      </c>
      <c r="E800" s="6" t="inlineStr">
        <is>
          <t>RECICLESAN SL</t>
        </is>
      </c>
      <c r="F800" s="6" t="inlineStr">
        <is>
          <t>IMPUTADO</t>
        </is>
      </c>
      <c r="G800" s="4" t="n">
        <v>1301.48</v>
      </c>
    </row>
    <row r="801">
      <c r="A801" s="6" t="inlineStr">
        <is>
          <t>OBRA C/ÁNGEL, MURCIA (SEÑORIO DEL CARMEN)</t>
        </is>
      </c>
      <c r="B801" s="6" t="inlineStr">
        <is>
          <t>575,00</t>
        </is>
      </c>
      <c r="C801" s="6" t="inlineStr">
        <is>
          <t>02/03/2026</t>
        </is>
      </c>
      <c r="D801" s="6" t="inlineStr">
        <is>
          <t>ELECTRICIDAD</t>
        </is>
      </c>
      <c r="E801" s="6" t="inlineStr"/>
      <c r="F801" s="6" t="inlineStr">
        <is>
          <t>IMPUTADO</t>
        </is>
      </c>
      <c r="G801" s="4" t="n">
        <v>1035.6</v>
      </c>
    </row>
    <row r="802">
      <c r="A802" s="6" t="inlineStr">
        <is>
          <t>OBRA C/ÁNGEL, MURCIA (SEÑORIO DEL CARMEN)</t>
        </is>
      </c>
      <c r="B802" s="6" t="inlineStr">
        <is>
          <t>542,00</t>
        </is>
      </c>
      <c r="C802" s="6" t="inlineStr">
        <is>
          <t>02/03/2026</t>
        </is>
      </c>
      <c r="D802" s="6" t="inlineStr">
        <is>
          <t>PORTES</t>
        </is>
      </c>
      <c r="E802" s="6" t="inlineStr">
        <is>
          <t>FRANCISO JAVIER SERNA GALVEZ</t>
        </is>
      </c>
      <c r="F802" s="6" t="inlineStr">
        <is>
          <t>IMPUTADO</t>
        </is>
      </c>
      <c r="G802" s="4" t="n">
        <v>860</v>
      </c>
    </row>
    <row r="803">
      <c r="A803" s="6" t="inlineStr">
        <is>
          <t>OBRA C/ÁNGEL, MURCIA (SEÑORIO DEL CARMEN)</t>
        </is>
      </c>
      <c r="B803" s="6" t="inlineStr">
        <is>
          <t>569,00</t>
        </is>
      </c>
      <c r="C803" s="6" t="inlineStr">
        <is>
          <t>03/03/2026</t>
        </is>
      </c>
      <c r="D803" s="6" t="inlineStr">
        <is>
          <t>COMPRAS FERRETRIA</t>
        </is>
      </c>
      <c r="E803" s="6" t="inlineStr">
        <is>
          <t>PARRA MICOL, FCO.TOMAS</t>
        </is>
      </c>
      <c r="F803" s="6" t="inlineStr">
        <is>
          <t>IMPUTADO</t>
        </is>
      </c>
      <c r="G803" s="4" t="n">
        <v>344.74</v>
      </c>
    </row>
    <row r="804">
      <c r="A804" s="6" t="inlineStr">
        <is>
          <t>OBRA C/ÁNGEL, MURCIA (SEÑORIO DEL CARMEN)</t>
        </is>
      </c>
      <c r="B804" s="6" t="inlineStr">
        <is>
          <t>574,00</t>
        </is>
      </c>
      <c r="C804" s="6" t="inlineStr">
        <is>
          <t>02/03/2026</t>
        </is>
      </c>
      <c r="D804" s="6" t="inlineStr">
        <is>
          <t>MATERIAL</t>
        </is>
      </c>
      <c r="E804" s="6" t="inlineStr">
        <is>
          <t>FERRETERIA PARRA SL</t>
        </is>
      </c>
      <c r="F804" s="6" t="inlineStr">
        <is>
          <t>IMPUTADO</t>
        </is>
      </c>
      <c r="G804" s="4" t="n">
        <v>306.37</v>
      </c>
    </row>
    <row r="805">
      <c r="A805" s="6" t="inlineStr">
        <is>
          <t>OBRA C/ÁNGEL, MURCIA (SEÑORIO DEL CARMEN)</t>
        </is>
      </c>
      <c r="B805" s="6" t="inlineStr">
        <is>
          <t>573,00</t>
        </is>
      </c>
      <c r="C805" s="6" t="inlineStr">
        <is>
          <t>02/03/2026</t>
        </is>
      </c>
      <c r="D805" s="6" t="inlineStr">
        <is>
          <t>FONTANERO</t>
        </is>
      </c>
      <c r="E805" s="6" t="inlineStr">
        <is>
          <t>FONTAFIX EAR</t>
        </is>
      </c>
      <c r="F805" s="6" t="inlineStr">
        <is>
          <t>IMPUTADO</t>
        </is>
      </c>
      <c r="G805" s="4" t="n">
        <v>250</v>
      </c>
    </row>
    <row r="806">
      <c r="A806" s="6" t="inlineStr">
        <is>
          <t>OBRA C/ÁNGEL, MURCIA (SEÑORIO DEL CARMEN)</t>
        </is>
      </c>
      <c r="B806" s="6" t="inlineStr">
        <is>
          <t>576,00</t>
        </is>
      </c>
      <c r="C806" s="6" t="inlineStr">
        <is>
          <t>02/03/2026</t>
        </is>
      </c>
      <c r="D806" s="6" t="inlineStr">
        <is>
          <t>PONER AGUA DE OBRA</t>
        </is>
      </c>
      <c r="E806" s="6" t="inlineStr">
        <is>
          <t>FONTAFIX EAR</t>
        </is>
      </c>
      <c r="F806" s="6" t="inlineStr">
        <is>
          <t>IMPUTADO</t>
        </is>
      </c>
      <c r="G806" s="4" t="n">
        <v>200</v>
      </c>
    </row>
    <row r="807">
      <c r="A807" s="6" t="inlineStr">
        <is>
          <t>OBRA C/ÁNGEL, MURCIA (SEÑORIO DEL CARMEN)</t>
        </is>
      </c>
      <c r="B807" s="6" t="inlineStr">
        <is>
          <t>578,00</t>
        </is>
      </c>
      <c r="C807" s="6" t="inlineStr">
        <is>
          <t>02/03/2026</t>
        </is>
      </c>
      <c r="D807" s="6" t="inlineStr">
        <is>
          <t>CANDADO</t>
        </is>
      </c>
      <c r="E807" s="6" t="inlineStr">
        <is>
          <t>FERRETERIA PARRA SL</t>
        </is>
      </c>
      <c r="F807" s="6" t="inlineStr">
        <is>
          <t>IMPUTADO</t>
        </is>
      </c>
      <c r="G807" s="4" t="n">
        <v>112.3</v>
      </c>
    </row>
    <row r="808">
      <c r="A808" s="6" t="inlineStr">
        <is>
          <t>OBRA C/ÁNGEL, MURCIA (SEÑORIO DEL CARMEN)</t>
        </is>
      </c>
      <c r="B808" s="6" t="inlineStr">
        <is>
          <t>562,00</t>
        </is>
      </c>
      <c r="C808" s="6" t="inlineStr">
        <is>
          <t>03/03/2026</t>
        </is>
      </c>
      <c r="D808" s="6" t="inlineStr">
        <is>
          <t>COMPRAS FERRETERIA</t>
        </is>
      </c>
      <c r="E808" s="6" t="inlineStr">
        <is>
          <t>PARRA MICOL, FCO.TOMAS</t>
        </is>
      </c>
      <c r="F808" s="6" t="inlineStr">
        <is>
          <t>IMPUTADO</t>
        </is>
      </c>
      <c r="G808" s="4" t="n">
        <v>73.14</v>
      </c>
    </row>
    <row r="809">
      <c r="A809" s="6" t="inlineStr">
        <is>
          <t>OBRA C/ÁNGEL, MURCIA (SEÑORIO DEL CARMEN)</t>
        </is>
      </c>
      <c r="B809" s="6" t="inlineStr">
        <is>
          <t>547,00</t>
        </is>
      </c>
      <c r="C809" s="6" t="inlineStr">
        <is>
          <t>02/03/2026</t>
        </is>
      </c>
      <c r="D809" s="6" t="inlineStr">
        <is>
          <t>COMPRAS FERRETERIA</t>
        </is>
      </c>
      <c r="E809" s="6" t="inlineStr">
        <is>
          <t>PARRA MICOL, FCO.TOMAS</t>
        </is>
      </c>
      <c r="F809" s="6" t="inlineStr">
        <is>
          <t>IMPUTADO</t>
        </is>
      </c>
      <c r="G809" s="4" t="n">
        <v>44.85</v>
      </c>
    </row>
    <row r="810">
      <c r="A810" s="6" t="inlineStr">
        <is>
          <t>OBRA C/ÁNGEL, MURCIA (SEÑORIO DEL CARMEN)</t>
        </is>
      </c>
      <c r="B810" s="6" t="inlineStr">
        <is>
          <t>551,00</t>
        </is>
      </c>
      <c r="C810" s="6" t="inlineStr">
        <is>
          <t>02/03/2026</t>
        </is>
      </c>
      <c r="D810" s="6" t="inlineStr">
        <is>
          <t>COMPRAS FERRETERIA</t>
        </is>
      </c>
      <c r="E810" s="6" t="inlineStr">
        <is>
          <t>PARRA MICOL, FCO.TOMAS</t>
        </is>
      </c>
      <c r="F810" s="6" t="inlineStr">
        <is>
          <t>IMPUTADO</t>
        </is>
      </c>
      <c r="G810" s="4" t="n">
        <v>33.29</v>
      </c>
    </row>
    <row r="811">
      <c r="A811" s="6" t="inlineStr">
        <is>
          <t>OBRA C/ÁNGEL, MURCIA (SEÑORIO DEL CARMEN)</t>
        </is>
      </c>
      <c r="B811" s="6" t="inlineStr">
        <is>
          <t>577,00</t>
        </is>
      </c>
      <c r="C811" s="6" t="inlineStr">
        <is>
          <t>02/03/2026</t>
        </is>
      </c>
      <c r="D811" s="6" t="inlineStr">
        <is>
          <t>MATERIAL</t>
        </is>
      </c>
      <c r="E811" s="6" t="inlineStr">
        <is>
          <t>FERRETERIA PARRA SL</t>
        </is>
      </c>
      <c r="F811" s="6" t="inlineStr">
        <is>
          <t>IMPUTADO</t>
        </is>
      </c>
      <c r="G811" s="4" t="n">
        <v>1.24</v>
      </c>
    </row>
    <row r="812">
      <c r="A812" s="6" t="inlineStr">
        <is>
          <t>OBRA CARLA, CAMINO DEL PRADO, PINOSO</t>
        </is>
      </c>
      <c r="B812" s="6" t="inlineStr">
        <is>
          <t>1.782,00</t>
        </is>
      </c>
      <c r="C812" s="6" t="inlineStr">
        <is>
          <t>10/07/2026</t>
        </is>
      </c>
      <c r="D812" s="6" t="inlineStr">
        <is>
          <t>MATERIAL OBRA</t>
        </is>
      </c>
      <c r="E812" s="6" t="inlineStr">
        <is>
          <t>MATERIALES DE CONSTRUCCION LOS CAPITOS SL.</t>
        </is>
      </c>
      <c r="F812" s="6" t="inlineStr">
        <is>
          <t>IMPUTADO</t>
        </is>
      </c>
      <c r="G812" s="4" t="n">
        <v>2312.04</v>
      </c>
    </row>
    <row r="813">
      <c r="A813" s="6" t="inlineStr">
        <is>
          <t>OBRA CARLA, CAMINO DEL PRADO, PINOSO</t>
        </is>
      </c>
      <c r="B813" s="6" t="inlineStr">
        <is>
          <t>1.800,00</t>
        </is>
      </c>
      <c r="C813" s="6" t="inlineStr">
        <is>
          <t>10/07/2026</t>
        </is>
      </c>
      <c r="D813" s="6" t="inlineStr">
        <is>
          <t>HORMIGON CIMENTACION</t>
        </is>
      </c>
      <c r="E813" s="6" t="inlineStr">
        <is>
          <t>CANTERAS Y RECICLADOS SL.</t>
        </is>
      </c>
      <c r="F813" s="6" t="inlineStr">
        <is>
          <t>IMPUTADO</t>
        </is>
      </c>
      <c r="G813" s="4" t="n">
        <v>1196.25</v>
      </c>
    </row>
    <row r="814">
      <c r="A814" s="6" t="inlineStr">
        <is>
          <t>OBRA CARLA, CAMINO DEL PRADO, PINOSO</t>
        </is>
      </c>
      <c r="B814" s="6" t="inlineStr">
        <is>
          <t>1.804,00</t>
        </is>
      </c>
      <c r="C814" s="6" t="inlineStr">
        <is>
          <t>10/07/2026</t>
        </is>
      </c>
      <c r="D814" s="6" t="inlineStr">
        <is>
          <t>GRUA</t>
        </is>
      </c>
      <c r="E814" s="6" t="inlineStr">
        <is>
          <t>GRUAS Y MAQUINARIA PETREL SL</t>
        </is>
      </c>
      <c r="F814" s="6" t="inlineStr">
        <is>
          <t>IMPUTADO</t>
        </is>
      </c>
      <c r="G814" s="4" t="n">
        <v>975</v>
      </c>
    </row>
    <row r="815">
      <c r="A815" s="6" t="inlineStr">
        <is>
          <t>OBRA CARLA, CAMINO DEL PRADO, PINOSO</t>
        </is>
      </c>
      <c r="B815" s="6" t="inlineStr">
        <is>
          <t>1.764,00</t>
        </is>
      </c>
      <c r="C815" s="6" t="inlineStr">
        <is>
          <t>30/06/2026</t>
        </is>
      </c>
      <c r="D815" s="6" t="inlineStr">
        <is>
          <t>HIERRO CIMENTACIÓN</t>
        </is>
      </c>
      <c r="E815" s="6" t="inlineStr">
        <is>
          <t>FERRALLAS MONFORTE DEL CID SL.</t>
        </is>
      </c>
      <c r="F815" s="6" t="inlineStr">
        <is>
          <t>IMPUTADO</t>
        </is>
      </c>
      <c r="G815" s="4" t="n">
        <v>441.36</v>
      </c>
    </row>
    <row r="816">
      <c r="A816" s="6" t="inlineStr">
        <is>
          <t>OBRA CARLA, CAMINO DEL PRADO, PINOSO</t>
        </is>
      </c>
      <c r="B816" s="6" t="inlineStr">
        <is>
          <t>1.812,00</t>
        </is>
      </c>
      <c r="C816" s="6" t="inlineStr">
        <is>
          <t>14/07/2026</t>
        </is>
      </c>
      <c r="D816" s="6" t="inlineStr">
        <is>
          <t>PALA PAULINO</t>
        </is>
      </c>
      <c r="E816" s="6" t="inlineStr">
        <is>
          <t>PAULINO TOMAS JUAN</t>
        </is>
      </c>
      <c r="F816" s="6" t="inlineStr">
        <is>
          <t>IMPUTADO</t>
        </is>
      </c>
      <c r="G816" s="4" t="n">
        <v>180</v>
      </c>
    </row>
    <row r="817">
      <c r="A817" s="6" t="inlineStr">
        <is>
          <t>OBRA CARLA, CAMINO DEL PRADO, PINOSO</t>
        </is>
      </c>
      <c r="B817" s="6" t="inlineStr">
        <is>
          <t>1.823,00</t>
        </is>
      </c>
      <c r="C817" s="6" t="inlineStr">
        <is>
          <t>21/07/2026</t>
        </is>
      </c>
      <c r="D817" s="6" t="inlineStr">
        <is>
          <t>GRUA-CAMION</t>
        </is>
      </c>
      <c r="E817" s="6" t="inlineStr">
        <is>
          <t>JOSE LUIS PEREZ JAREÑO</t>
        </is>
      </c>
      <c r="F817" s="6" t="inlineStr">
        <is>
          <t>IMPUTADO</t>
        </is>
      </c>
      <c r="G817" s="4" t="n">
        <v>75</v>
      </c>
    </row>
    <row r="818">
      <c r="A818" s="6" t="inlineStr">
        <is>
          <t>OBRA CARLA, CAMINO DEL PRADO, PINOSO</t>
        </is>
      </c>
      <c r="B818" s="6" t="inlineStr">
        <is>
          <t>1.840,00</t>
        </is>
      </c>
      <c r="C818" s="6" t="inlineStr">
        <is>
          <t>21/07/2026</t>
        </is>
      </c>
      <c r="D818" s="6" t="inlineStr">
        <is>
          <t>MATERIAL OBRA</t>
        </is>
      </c>
      <c r="E818" s="6" t="inlineStr">
        <is>
          <t>MATERIALES DE CONSTRUCCION LOS CAPITOS SL.</t>
        </is>
      </c>
      <c r="F818" s="6" t="inlineStr">
        <is>
          <t>IMPUTADO</t>
        </is>
      </c>
      <c r="G818" s="4" t="n">
        <v>41.9</v>
      </c>
    </row>
    <row r="819">
      <c r="A819" s="6" t="inlineStr">
        <is>
          <t>OBRA CARLA, CAMINO DEL PRADO, PINOSO</t>
        </is>
      </c>
      <c r="B819" s="6" t="inlineStr">
        <is>
          <t>1.759,00</t>
        </is>
      </c>
      <c r="C819" s="6" t="inlineStr">
        <is>
          <t>30/06/2026</t>
        </is>
      </c>
      <c r="D819" s="6" t="inlineStr">
        <is>
          <t>ARENA Y BARDO</t>
        </is>
      </c>
      <c r="E819" s="6" t="inlineStr">
        <is>
          <t>BRICOLAJE BRICOMAN SLU</t>
        </is>
      </c>
      <c r="F819" s="6" t="inlineStr">
        <is>
          <t>IMPUTADO</t>
        </is>
      </c>
      <c r="G819" s="4" t="n">
        <v>30.25</v>
      </c>
    </row>
    <row r="820">
      <c r="A820" s="6" t="inlineStr">
        <is>
          <t>OBRA CEMENTERIO - PANTEON, MURCIA</t>
        </is>
      </c>
      <c r="B820" s="6" t="inlineStr">
        <is>
          <t>558,00</t>
        </is>
      </c>
      <c r="C820" s="6" t="inlineStr">
        <is>
          <t>18/02/2026</t>
        </is>
      </c>
      <c r="D820" s="6" t="inlineStr">
        <is>
          <t>CHAPAS MURO</t>
        </is>
      </c>
      <c r="E820" s="6" t="inlineStr"/>
      <c r="F820" s="6" t="inlineStr">
        <is>
          <t>IMPUTADO</t>
        </is>
      </c>
      <c r="G820" s="4" t="n">
        <v>3254.01</v>
      </c>
    </row>
    <row r="821">
      <c r="A821" s="6" t="inlineStr">
        <is>
          <t>OBRA CEMENTERIO - PANTEON, MURCIA</t>
        </is>
      </c>
      <c r="B821" s="6" t="inlineStr">
        <is>
          <t>1.595,00</t>
        </is>
      </c>
      <c r="C821" s="6" t="inlineStr">
        <is>
          <t>21/05/2026</t>
        </is>
      </c>
      <c r="D821" s="6" t="inlineStr">
        <is>
          <t>PUERTA ALUMINIO/FIJO ALUMNIO/INSTALACIÓN</t>
        </is>
      </c>
      <c r="E821" s="6" t="inlineStr">
        <is>
          <t>ALEJANDRO CUTILLAS CAÑABATE</t>
        </is>
      </c>
      <c r="F821" s="6" t="inlineStr">
        <is>
          <t>IMPUTADO</t>
        </is>
      </c>
      <c r="G821" s="4" t="n">
        <v>2797.7</v>
      </c>
    </row>
    <row r="822">
      <c r="A822" s="6" t="inlineStr">
        <is>
          <t>OBRA CEMENTERIO - PANTEON, MURCIA</t>
        </is>
      </c>
      <c r="B822" s="6" t="inlineStr">
        <is>
          <t>559,00</t>
        </is>
      </c>
      <c r="C822" s="6" t="inlineStr">
        <is>
          <t>18/02/2026</t>
        </is>
      </c>
      <c r="D822" s="6" t="inlineStr">
        <is>
          <t>GRUA</t>
        </is>
      </c>
      <c r="E822" s="6" t="inlineStr">
        <is>
          <t>UNICO CM SL.</t>
        </is>
      </c>
      <c r="F822" s="6" t="inlineStr">
        <is>
          <t>IMPUTADO</t>
        </is>
      </c>
      <c r="G822" s="4" t="n">
        <v>1800</v>
      </c>
    </row>
    <row r="823">
      <c r="A823" s="6" t="inlineStr">
        <is>
          <t>OBRA CEMENTERIO - PANTEON, MURCIA</t>
        </is>
      </c>
      <c r="B823" s="6" t="inlineStr">
        <is>
          <t>859,00</t>
        </is>
      </c>
      <c r="C823" s="6" t="inlineStr">
        <is>
          <t>25/02/2026</t>
        </is>
      </c>
      <c r="D823" s="6" t="inlineStr">
        <is>
          <t>HIERRO PANTEON #ACERO</t>
        </is>
      </c>
      <c r="E823" s="6" t="inlineStr">
        <is>
          <t>ALEJANDRO CUTILLAS CAÑABATE</t>
        </is>
      </c>
      <c r="F823" s="6" t="inlineStr">
        <is>
          <t>IMPUTADO</t>
        </is>
      </c>
      <c r="G823" s="4" t="n">
        <v>1779.6</v>
      </c>
    </row>
    <row r="824">
      <c r="A824" s="6" t="inlineStr">
        <is>
          <t>OBRA CEMENTERIO - PANTEON, MURCIA</t>
        </is>
      </c>
      <c r="B824" s="6" t="inlineStr">
        <is>
          <t>584,00</t>
        </is>
      </c>
      <c r="C824" s="6" t="inlineStr">
        <is>
          <t>18/02/2026</t>
        </is>
      </c>
      <c r="D824" s="6" t="inlineStr">
        <is>
          <t>TABLA MADERA PANTEÓN</t>
        </is>
      </c>
      <c r="E824" s="6" t="inlineStr">
        <is>
          <t>MADERAS RIO SEGURA ALQUILERES SL</t>
        </is>
      </c>
      <c r="F824" s="6" t="inlineStr">
        <is>
          <t>IMPUTADO</t>
        </is>
      </c>
      <c r="G824" s="4" t="n">
        <v>1549.37</v>
      </c>
    </row>
    <row r="825">
      <c r="A825" s="6" t="inlineStr">
        <is>
          <t>OBRA CEMENTERIO - PANTEON, MURCIA</t>
        </is>
      </c>
      <c r="B825" s="6" t="inlineStr">
        <is>
          <t>564,00</t>
        </is>
      </c>
      <c r="C825" s="6" t="inlineStr">
        <is>
          <t>18/02/2026</t>
        </is>
      </c>
      <c r="D825" s="6" t="inlineStr">
        <is>
          <t>FERRALLA LOSA</t>
        </is>
      </c>
      <c r="E825" s="6" t="inlineStr"/>
      <c r="F825" s="6" t="inlineStr">
        <is>
          <t>IMPUTADO</t>
        </is>
      </c>
      <c r="G825" s="4" t="n">
        <v>1538.42</v>
      </c>
    </row>
    <row r="826">
      <c r="A826" s="6" t="inlineStr">
        <is>
          <t>OBRA CEMENTERIO - PANTEON, MURCIA</t>
        </is>
      </c>
      <c r="B826" s="6" t="inlineStr">
        <is>
          <t>563,00</t>
        </is>
      </c>
      <c r="C826" s="6" t="inlineStr">
        <is>
          <t>18/02/2026</t>
        </is>
      </c>
      <c r="D826" s="6" t="inlineStr">
        <is>
          <t>MINI EXCAVADORA</t>
        </is>
      </c>
      <c r="E826" s="6" t="inlineStr">
        <is>
          <t>FRANCISO JAVIER SERNA GALVEZ</t>
        </is>
      </c>
      <c r="F826" s="6" t="inlineStr">
        <is>
          <t>IMPUTADO</t>
        </is>
      </c>
      <c r="G826" s="4" t="n">
        <v>1380</v>
      </c>
    </row>
    <row r="827">
      <c r="A827" s="6" t="inlineStr">
        <is>
          <t>OBRA CEMENTERIO - PANTEON, MURCIA</t>
        </is>
      </c>
      <c r="B827" s="6" t="inlineStr">
        <is>
          <t>548,00</t>
        </is>
      </c>
      <c r="C827" s="6" t="inlineStr">
        <is>
          <t>18/02/2026</t>
        </is>
      </c>
      <c r="D827" s="6" t="inlineStr">
        <is>
          <t>HORMIGON</t>
        </is>
      </c>
      <c r="E827" s="6" t="inlineStr"/>
      <c r="F827" s="6" t="inlineStr">
        <is>
          <t>IMPUTADO</t>
        </is>
      </c>
      <c r="G827" s="4" t="n">
        <v>1365</v>
      </c>
    </row>
    <row r="828">
      <c r="A828" s="6" t="inlineStr">
        <is>
          <t>OBRA CEMENTERIO - PANTEON, MURCIA</t>
        </is>
      </c>
      <c r="B828" s="6" t="inlineStr">
        <is>
          <t>556,00</t>
        </is>
      </c>
      <c r="C828" s="6" t="inlineStr">
        <is>
          <t>18/02/2026</t>
        </is>
      </c>
      <c r="D828" s="6" t="inlineStr">
        <is>
          <t>GRUA</t>
        </is>
      </c>
      <c r="E828" s="6" t="inlineStr">
        <is>
          <t>GRUAS Y MAQUINARIA PETREL SL</t>
        </is>
      </c>
      <c r="F828" s="6" t="inlineStr">
        <is>
          <t>IMPUTADO</t>
        </is>
      </c>
      <c r="G828" s="4" t="n">
        <v>1320</v>
      </c>
    </row>
    <row r="829">
      <c r="A829" s="6" t="inlineStr">
        <is>
          <t>OBRA CEMENTERIO - PANTEON, MURCIA</t>
        </is>
      </c>
      <c r="B829" s="6" t="inlineStr">
        <is>
          <t>557,00</t>
        </is>
      </c>
      <c r="C829" s="6" t="inlineStr">
        <is>
          <t>18/02/2026</t>
        </is>
      </c>
      <c r="D829" s="6" t="inlineStr">
        <is>
          <t>HORMIGON</t>
        </is>
      </c>
      <c r="E829" s="6" t="inlineStr"/>
      <c r="F829" s="6" t="inlineStr">
        <is>
          <t>IMPUTADO</t>
        </is>
      </c>
      <c r="G829" s="4" t="n">
        <v>925.75</v>
      </c>
    </row>
    <row r="830">
      <c r="A830" s="6" t="inlineStr">
        <is>
          <t>OBRA CEMENTERIO - PANTEON, MURCIA</t>
        </is>
      </c>
      <c r="B830" s="6" t="inlineStr">
        <is>
          <t>544,00</t>
        </is>
      </c>
      <c r="C830" s="6" t="inlineStr">
        <is>
          <t>18/02/2026</t>
        </is>
      </c>
      <c r="D830" s="6" t="inlineStr">
        <is>
          <t>MATERIAL ALMACEN</t>
        </is>
      </c>
      <c r="E830" s="6" t="inlineStr">
        <is>
          <t>UNICO CM SL.</t>
        </is>
      </c>
      <c r="F830" s="6" t="inlineStr">
        <is>
          <t>IMPUTADO</t>
        </is>
      </c>
      <c r="G830" s="4" t="n">
        <v>842.47</v>
      </c>
    </row>
    <row r="831">
      <c r="A831" s="6" t="inlineStr">
        <is>
          <t>OBRA CEMENTERIO - PANTEON, MURCIA</t>
        </is>
      </c>
      <c r="B831" s="6" t="inlineStr">
        <is>
          <t>538,00</t>
        </is>
      </c>
      <c r="C831" s="6" t="inlineStr">
        <is>
          <t>18/02/2026</t>
        </is>
      </c>
      <c r="D831" s="6" t="inlineStr">
        <is>
          <t>RECERCADO DE PLETINA</t>
        </is>
      </c>
      <c r="E831" s="6" t="inlineStr">
        <is>
          <t>ALEJANDRO CUTILLAS CAÑABATE</t>
        </is>
      </c>
      <c r="F831" s="6" t="inlineStr">
        <is>
          <t>IMPUTADO</t>
        </is>
      </c>
      <c r="G831" s="4" t="n">
        <v>599.95</v>
      </c>
    </row>
    <row r="832">
      <c r="A832" s="6" t="inlineStr">
        <is>
          <t>OBRA CEMENTERIO - PANTEON, MURCIA</t>
        </is>
      </c>
      <c r="B832" s="6" t="inlineStr">
        <is>
          <t>566,00</t>
        </is>
      </c>
      <c r="C832" s="6" t="inlineStr">
        <is>
          <t>18/02/2026</t>
        </is>
      </c>
      <c r="D832" s="6" t="inlineStr">
        <is>
          <t>MINI EXCAVADORA</t>
        </is>
      </c>
      <c r="E832" s="6" t="inlineStr">
        <is>
          <t>FRANCISO JAVIER SERNA GALVEZ</t>
        </is>
      </c>
      <c r="F832" s="6" t="inlineStr">
        <is>
          <t>IMPUTADO</t>
        </is>
      </c>
      <c r="G832" s="4" t="n">
        <v>570</v>
      </c>
    </row>
    <row r="833">
      <c r="A833" s="6" t="inlineStr">
        <is>
          <t>OBRA CEMENTERIO - PANTEON, MURCIA</t>
        </is>
      </c>
      <c r="B833" s="6" t="inlineStr">
        <is>
          <t>555,00</t>
        </is>
      </c>
      <c r="C833" s="6" t="inlineStr">
        <is>
          <t>18/02/2026</t>
        </is>
      </c>
      <c r="D833" s="6" t="inlineStr">
        <is>
          <t>MATERIAL MURO HORMIGON</t>
        </is>
      </c>
      <c r="E833" s="6" t="inlineStr"/>
      <c r="F833" s="6" t="inlineStr">
        <is>
          <t>IMPUTADO</t>
        </is>
      </c>
      <c r="G833" s="4" t="n">
        <v>516.91</v>
      </c>
    </row>
    <row r="834">
      <c r="A834" s="6" t="inlineStr">
        <is>
          <t>OBRA CEMENTERIO - PANTEON, MURCIA</t>
        </is>
      </c>
      <c r="B834" s="6" t="inlineStr">
        <is>
          <t>622,00</t>
        </is>
      </c>
      <c r="C834" s="6" t="inlineStr">
        <is>
          <t>13/02/2026</t>
        </is>
      </c>
      <c r="D834" s="6" t="inlineStr">
        <is>
          <t>GRUA</t>
        </is>
      </c>
      <c r="E834" s="6" t="inlineStr">
        <is>
          <t>GRUAS Y MAQUINARIA PETREL SL</t>
        </is>
      </c>
      <c r="F834" s="6" t="inlineStr">
        <is>
          <t>IMPUTADO</t>
        </is>
      </c>
      <c r="G834" s="4" t="n">
        <v>510</v>
      </c>
    </row>
    <row r="835">
      <c r="A835" s="6" t="inlineStr">
        <is>
          <t>OBRA CEMENTERIO - PANTEON, MURCIA</t>
        </is>
      </c>
      <c r="B835" s="6" t="inlineStr">
        <is>
          <t>883,00</t>
        </is>
      </c>
      <c r="C835" s="6" t="inlineStr">
        <is>
          <t>02/03/2026</t>
        </is>
      </c>
      <c r="D835" s="6" t="inlineStr">
        <is>
          <t>HIERRO CIMENTACION #Albañileria/cimentacion/patio</t>
        </is>
      </c>
      <c r="E835" s="6" t="inlineStr">
        <is>
          <t>FERRALLAS MONFORTE DEL CID SL.</t>
        </is>
      </c>
      <c r="F835" s="6" t="inlineStr">
        <is>
          <t>IMPUTADO</t>
        </is>
      </c>
      <c r="G835" s="4" t="n">
        <v>501.2</v>
      </c>
    </row>
    <row r="836">
      <c r="A836" s="6" t="inlineStr">
        <is>
          <t>OBRA CEMENTERIO - PANTEON, MURCIA</t>
        </is>
      </c>
      <c r="B836" s="6" t="inlineStr">
        <is>
          <t>623,00</t>
        </is>
      </c>
      <c r="C836" s="6" t="inlineStr">
        <is>
          <t>18/02/2026</t>
        </is>
      </c>
      <c r="D836" s="6" t="inlineStr">
        <is>
          <t>GRUA</t>
        </is>
      </c>
      <c r="E836" s="6" t="inlineStr">
        <is>
          <t>GRUAS Y MAQUINARIA PETREL SL</t>
        </is>
      </c>
      <c r="F836" s="6" t="inlineStr">
        <is>
          <t>IMPUTADO</t>
        </is>
      </c>
      <c r="G836" s="4" t="n">
        <v>480</v>
      </c>
    </row>
    <row r="837">
      <c r="A837" s="6" t="inlineStr">
        <is>
          <t>OBRA CEMENTERIO - PANTEON, MURCIA</t>
        </is>
      </c>
      <c r="B837" s="6" t="inlineStr">
        <is>
          <t>823,00</t>
        </is>
      </c>
      <c r="C837" s="6" t="inlineStr">
        <is>
          <t>18/02/2026</t>
        </is>
      </c>
      <c r="D837" s="6" t="inlineStr">
        <is>
          <t>GRUA #Maquinaria</t>
        </is>
      </c>
      <c r="E837" s="6" t="inlineStr">
        <is>
          <t>GRUAS Y MAQUINARIA PETREL SL</t>
        </is>
      </c>
      <c r="F837" s="6" t="inlineStr">
        <is>
          <t>IMPUTADO</t>
        </is>
      </c>
      <c r="G837" s="4" t="n">
        <v>450</v>
      </c>
    </row>
    <row r="838">
      <c r="A838" s="6" t="inlineStr">
        <is>
          <t>OBRA CEMENTERIO - PANTEON, MURCIA</t>
        </is>
      </c>
      <c r="B838" s="6" t="inlineStr">
        <is>
          <t>582,00</t>
        </is>
      </c>
      <c r="C838" s="6" t="inlineStr">
        <is>
          <t>18/02/2026</t>
        </is>
      </c>
      <c r="D838" s="6" t="inlineStr">
        <is>
          <t>GRUA RECTIFICATIVA</t>
        </is>
      </c>
      <c r="E838" s="6" t="inlineStr">
        <is>
          <t>UNICO CM SL.</t>
        </is>
      </c>
      <c r="F838" s="6" t="inlineStr">
        <is>
          <t>IMPUTADO</t>
        </is>
      </c>
      <c r="G838" s="4" t="n">
        <v>390</v>
      </c>
    </row>
    <row r="839">
      <c r="A839" s="6" t="inlineStr">
        <is>
          <t>OBRA CEMENTERIO - PANTEON, MURCIA</t>
        </is>
      </c>
      <c r="B839" s="6" t="inlineStr">
        <is>
          <t>813,00</t>
        </is>
      </c>
      <c r="C839" s="6" t="inlineStr">
        <is>
          <t>18/02/2026</t>
        </is>
      </c>
      <c r="D839" s="6" t="inlineStr">
        <is>
          <t>GRAVA / CEMENTO / G50 SMART FLEX #ALBAÑILERIA  - MATERIAL</t>
        </is>
      </c>
      <c r="E839" s="6" t="inlineStr">
        <is>
          <t>BRICOLAJE BRICOMAN SLU</t>
        </is>
      </c>
      <c r="F839" s="6" t="inlineStr">
        <is>
          <t>IMPUTADO</t>
        </is>
      </c>
      <c r="G839" s="4" t="n">
        <v>150.35</v>
      </c>
    </row>
    <row r="840">
      <c r="A840" s="6" t="inlineStr">
        <is>
          <t>OBRA CEMENTERIO - PANTEON, MURCIA</t>
        </is>
      </c>
      <c r="B840" s="6" t="inlineStr">
        <is>
          <t>553,00</t>
        </is>
      </c>
      <c r="C840" s="6" t="inlineStr">
        <is>
          <t>18/02/2026</t>
        </is>
      </c>
      <c r="D840" s="6" t="inlineStr">
        <is>
          <t>GASOLINA MOTOR OBRA</t>
        </is>
      </c>
      <c r="E840" s="6" t="inlineStr"/>
      <c r="F840" s="6" t="inlineStr">
        <is>
          <t>IMPUTADO</t>
        </is>
      </c>
      <c r="G840" s="4" t="n">
        <v>91.34999999999999</v>
      </c>
    </row>
    <row r="841">
      <c r="A841" s="6" t="inlineStr">
        <is>
          <t>OBRA CEMENTERIO - PANTEON, MURCIA</t>
        </is>
      </c>
      <c r="B841" s="6" t="inlineStr">
        <is>
          <t>889,00</t>
        </is>
      </c>
      <c r="C841" s="6" t="inlineStr">
        <is>
          <t>02/03/2026</t>
        </is>
      </c>
      <c r="D841" s="6" t="inlineStr">
        <is>
          <t>MATERIAL OBRA #Albañileria/Material</t>
        </is>
      </c>
      <c r="E841" s="6" t="inlineStr">
        <is>
          <t>IBIMAT IBI SL</t>
        </is>
      </c>
      <c r="F841" s="6" t="inlineStr">
        <is>
          <t>IMPUTADO</t>
        </is>
      </c>
      <c r="G841" s="4" t="n">
        <v>88.59</v>
      </c>
    </row>
    <row r="842">
      <c r="A842" s="6" t="inlineStr">
        <is>
          <t>OBRA CEMENTERIO - PANTEON, MURCIA</t>
        </is>
      </c>
      <c r="B842" s="6" t="inlineStr">
        <is>
          <t>1.136,00</t>
        </is>
      </c>
      <c r="C842" s="6" t="inlineStr">
        <is>
          <t>16/03/2026</t>
        </is>
      </c>
      <c r="D842" s="6" t="inlineStr">
        <is>
          <t>SUELO PVC PANTEÓN</t>
        </is>
      </c>
      <c r="E842" s="6" t="inlineStr">
        <is>
          <t>LEROY MERLIN ESPAÑA SL</t>
        </is>
      </c>
      <c r="F842" s="6" t="inlineStr">
        <is>
          <t>IMPUTADO</t>
        </is>
      </c>
      <c r="G842" s="4" t="n">
        <v>63.7</v>
      </c>
    </row>
    <row r="843">
      <c r="A843" s="6" t="inlineStr">
        <is>
          <t>OBRA CEMENTERIO - PANTEON, MURCIA</t>
        </is>
      </c>
      <c r="B843" s="6" t="inlineStr">
        <is>
          <t>552,00</t>
        </is>
      </c>
      <c r="C843" s="6" t="inlineStr">
        <is>
          <t>18/02/2026</t>
        </is>
      </c>
      <c r="D843" s="6" t="inlineStr">
        <is>
          <t>MATERIAL ALMACEN</t>
        </is>
      </c>
      <c r="E843" s="6" t="inlineStr"/>
      <c r="F843" s="6" t="inlineStr">
        <is>
          <t>IMPUTADO</t>
        </is>
      </c>
      <c r="G843" s="4" t="n">
        <v>55.81</v>
      </c>
    </row>
    <row r="844">
      <c r="A844" s="6" t="inlineStr">
        <is>
          <t>OBRA CEMENTERIO - PANTEON, MURCIA</t>
        </is>
      </c>
      <c r="B844" s="6" t="inlineStr">
        <is>
          <t>791,00</t>
        </is>
      </c>
      <c r="C844" s="6" t="inlineStr">
        <is>
          <t>18/02/2026</t>
        </is>
      </c>
      <c r="D844" s="6" t="inlineStr">
        <is>
          <t>TUBO PVC DESAGÜES #ALBAÑILERIA -  MATERIAL</t>
        </is>
      </c>
      <c r="E844" s="6" t="inlineStr">
        <is>
          <t>BRICOLAJE BRICOMAN SLU</t>
        </is>
      </c>
      <c r="F844" s="6" t="inlineStr">
        <is>
          <t>IMPUTADO</t>
        </is>
      </c>
      <c r="G844" s="4" t="n">
        <v>44.5</v>
      </c>
    </row>
    <row r="845">
      <c r="A845" s="6" t="inlineStr">
        <is>
          <t>OBRA CEMENTERIO - PANTEON, MURCIA</t>
        </is>
      </c>
      <c r="B845" s="6" t="inlineStr">
        <is>
          <t>571,00</t>
        </is>
      </c>
      <c r="C845" s="6" t="inlineStr">
        <is>
          <t>18/02/2026</t>
        </is>
      </c>
      <c r="D845" s="6" t="inlineStr">
        <is>
          <t>CLAVOS MADERA</t>
        </is>
      </c>
      <c r="E845" s="6" t="inlineStr">
        <is>
          <t>TEJERA SUMINISTROS INDUSTRIALES SL.</t>
        </is>
      </c>
      <c r="F845" s="6" t="inlineStr">
        <is>
          <t>IMPUTADO</t>
        </is>
      </c>
      <c r="G845" s="4" t="n">
        <v>41.13</v>
      </c>
    </row>
    <row r="846">
      <c r="A846" s="6" t="inlineStr">
        <is>
          <t>OBRA CEMENTERIO - PANTEON, MURCIA</t>
        </is>
      </c>
      <c r="B846" s="6" t="inlineStr">
        <is>
          <t>1.795,00</t>
        </is>
      </c>
      <c r="C846" s="6" t="inlineStr">
        <is>
          <t>10/07/2026</t>
        </is>
      </c>
      <c r="D846" s="6" t="inlineStr">
        <is>
          <t>PINTURA PANTEON</t>
        </is>
      </c>
      <c r="E846" s="6" t="inlineStr">
        <is>
          <t>LEROY MERLIN ESPAÑA SL</t>
        </is>
      </c>
      <c r="F846" s="6" t="inlineStr">
        <is>
          <t>IMPUTADO</t>
        </is>
      </c>
      <c r="G846" s="4" t="n">
        <v>40.36</v>
      </c>
    </row>
    <row r="847">
      <c r="A847" s="6" t="inlineStr">
        <is>
          <t>OBRA CEMENTERIO - PANTEON, MURCIA</t>
        </is>
      </c>
      <c r="B847" s="6" t="inlineStr">
        <is>
          <t>1.772,00</t>
        </is>
      </c>
      <c r="C847" s="6" t="inlineStr">
        <is>
          <t>10/07/2026</t>
        </is>
      </c>
      <c r="D847" s="6" t="inlineStr">
        <is>
          <t>ESMALTE Y CUBETA</t>
        </is>
      </c>
      <c r="E847" s="6" t="inlineStr">
        <is>
          <t>PINTURAS IDELLA SL.</t>
        </is>
      </c>
      <c r="F847" s="6" t="inlineStr">
        <is>
          <t>IMPUTADO</t>
        </is>
      </c>
      <c r="G847" s="4" t="n">
        <v>35.05</v>
      </c>
    </row>
    <row r="848">
      <c r="A848" s="6" t="inlineStr">
        <is>
          <t>OBRA CEMENTERIO - PANTEON, MURCIA</t>
        </is>
      </c>
      <c r="B848" s="6" t="inlineStr">
        <is>
          <t>560,00</t>
        </is>
      </c>
      <c r="C848" s="6" t="inlineStr">
        <is>
          <t>18/02/2026</t>
        </is>
      </c>
      <c r="D848" s="6" t="inlineStr">
        <is>
          <t>GASOLINA MOTOR OBRA</t>
        </is>
      </c>
      <c r="E848" s="6" t="inlineStr"/>
      <c r="F848" s="6" t="inlineStr">
        <is>
          <t>IMPUTADO</t>
        </is>
      </c>
      <c r="G848" s="4" t="n">
        <v>31.21</v>
      </c>
    </row>
    <row r="849">
      <c r="A849" s="6" t="inlineStr">
        <is>
          <t>OBRA CEMENTERIO - PANTEON, MURCIA</t>
        </is>
      </c>
      <c r="B849" s="6" t="inlineStr">
        <is>
          <t>545,00</t>
        </is>
      </c>
      <c r="C849" s="6" t="inlineStr">
        <is>
          <t>18/02/2026</t>
        </is>
      </c>
      <c r="D849" s="6" t="inlineStr">
        <is>
          <t>MATERIAL FERRETERÍA</t>
        </is>
      </c>
      <c r="E849" s="6" t="inlineStr">
        <is>
          <t>FERRETERIA LOPEZ GARCIA C.B.</t>
        </is>
      </c>
      <c r="F849" s="6" t="inlineStr">
        <is>
          <t>IMPUTADO</t>
        </is>
      </c>
      <c r="G849" s="4" t="n">
        <v>24.55</v>
      </c>
    </row>
    <row r="850">
      <c r="A850" s="6" t="inlineStr">
        <is>
          <t>OBRA CEMENTERIO - PANTEON, MURCIA</t>
        </is>
      </c>
      <c r="B850" s="6" t="inlineStr">
        <is>
          <t>554,00</t>
        </is>
      </c>
      <c r="C850" s="6" t="inlineStr">
        <is>
          <t>18/02/2026</t>
        </is>
      </c>
      <c r="D850" s="6" t="inlineStr">
        <is>
          <t>MATERIAL ALMACEN</t>
        </is>
      </c>
      <c r="E850" s="6" t="inlineStr"/>
      <c r="F850" s="6" t="inlineStr">
        <is>
          <t>IMPUTADO</t>
        </is>
      </c>
      <c r="G850" s="4" t="n">
        <v>21.49</v>
      </c>
    </row>
    <row r="851">
      <c r="A851" s="6" t="inlineStr">
        <is>
          <t>OBRA CEMENTERIO - PANTEON, MURCIA</t>
        </is>
      </c>
      <c r="B851" s="6" t="inlineStr">
        <is>
          <t>1.137,00</t>
        </is>
      </c>
      <c r="C851" s="6" t="inlineStr">
        <is>
          <t>16/03/2026</t>
        </is>
      </c>
      <c r="D851" s="6" t="inlineStr">
        <is>
          <t>SUELO PVC PANTEON</t>
        </is>
      </c>
      <c r="E851" s="6" t="inlineStr">
        <is>
          <t>LEROY MERLIN ESPAÑA SL</t>
        </is>
      </c>
      <c r="F851" s="6" t="inlineStr">
        <is>
          <t>IMPUTADO</t>
        </is>
      </c>
      <c r="G851" s="4" t="n">
        <v>19.65</v>
      </c>
    </row>
    <row r="852">
      <c r="A852" s="6" t="inlineStr">
        <is>
          <t>OBRA CEMENTERIO - PANTEON, MURCIA</t>
        </is>
      </c>
      <c r="B852" s="6" t="inlineStr">
        <is>
          <t>1.796,00</t>
        </is>
      </c>
      <c r="C852" s="6" t="inlineStr">
        <is>
          <t>10/07/2026</t>
        </is>
      </c>
      <c r="D852" s="6" t="inlineStr">
        <is>
          <t>MASILLA PANTEON</t>
        </is>
      </c>
      <c r="E852" s="6" t="inlineStr">
        <is>
          <t>LEROY MERLIN ESPAÑA SL</t>
        </is>
      </c>
      <c r="F852" s="6" t="inlineStr">
        <is>
          <t>IMPUTADO</t>
        </is>
      </c>
      <c r="G852" s="4" t="n">
        <v>14.3</v>
      </c>
    </row>
    <row r="853">
      <c r="A853" s="6" t="inlineStr">
        <is>
          <t>OBRA CEMENTERIO - PANTEON, MURCIA</t>
        </is>
      </c>
      <c r="B853" s="6" t="inlineStr">
        <is>
          <t>549,00</t>
        </is>
      </c>
      <c r="C853" s="6" t="inlineStr">
        <is>
          <t>18/02/2026</t>
        </is>
      </c>
      <c r="D853" s="6" t="inlineStr">
        <is>
          <t>GASOLINA MOTOR OBRA</t>
        </is>
      </c>
      <c r="E853" s="6" t="inlineStr"/>
      <c r="F853" s="6" t="inlineStr">
        <is>
          <t>IMPUTADO</t>
        </is>
      </c>
      <c r="G853" s="4" t="n">
        <v>13.22</v>
      </c>
    </row>
    <row r="854">
      <c r="A854" s="6" t="inlineStr">
        <is>
          <t>OBRA CEMENTERIO - PANTEON, MURCIA</t>
        </is>
      </c>
      <c r="B854" s="6" t="inlineStr">
        <is>
          <t>811,00</t>
        </is>
      </c>
      <c r="C854" s="6" t="inlineStr">
        <is>
          <t>18/02/2026</t>
        </is>
      </c>
      <c r="D854" s="6" t="inlineStr">
        <is>
          <t>GASOLINA</t>
        </is>
      </c>
      <c r="E854" s="6" t="inlineStr">
        <is>
          <t>ESTACION OMEGA ESPINARDO SL</t>
        </is>
      </c>
      <c r="F854" s="6" t="inlineStr">
        <is>
          <t>IMPUTADO</t>
        </is>
      </c>
      <c r="G854" s="4" t="n">
        <v>10.75</v>
      </c>
    </row>
    <row r="855">
      <c r="A855" s="6" t="inlineStr">
        <is>
          <t>OBRA CEMENTERIO - PANTEON, MURCIA</t>
        </is>
      </c>
      <c r="B855" s="6" t="inlineStr">
        <is>
          <t>543,00</t>
        </is>
      </c>
      <c r="C855" s="6" t="inlineStr">
        <is>
          <t>18/02/2026</t>
        </is>
      </c>
      <c r="D855" s="6" t="inlineStr">
        <is>
          <t>CANTONERAS</t>
        </is>
      </c>
      <c r="E855" s="6" t="inlineStr"/>
      <c r="F855" s="6" t="inlineStr">
        <is>
          <t>IMPUTADO</t>
        </is>
      </c>
      <c r="G855" s="4" t="n">
        <v>6.86</v>
      </c>
    </row>
    <row r="856">
      <c r="A856" s="6" t="inlineStr">
        <is>
          <t>OBRA LA PARTE DIFICIL - EDIFICIO ALICANTE - C/MAESTRO BARBIERI</t>
        </is>
      </c>
      <c r="B856" s="6" t="inlineStr">
        <is>
          <t>1.157,00</t>
        </is>
      </c>
      <c r="C856" s="6" t="inlineStr">
        <is>
          <t>20/03/2026</t>
        </is>
      </c>
      <c r="D856" s="6" t="inlineStr">
        <is>
          <t>HORMIGON CIMENTACION #estructura hormigon</t>
        </is>
      </c>
      <c r="E856" s="6" t="inlineStr">
        <is>
          <t>EXPRESS HORMIGONES SL.</t>
        </is>
      </c>
      <c r="F856" s="6" t="inlineStr">
        <is>
          <t>IMPUTADO</t>
        </is>
      </c>
      <c r="G856" s="4" t="n">
        <v>1576</v>
      </c>
    </row>
    <row r="857">
      <c r="A857" s="6" t="inlineStr">
        <is>
          <t>OBRA LA PARTE DIFICIL - EDIFICIO ALICANTE - C/MAESTRO BARBIERI</t>
        </is>
      </c>
      <c r="B857" s="6" t="inlineStr">
        <is>
          <t>810,00</t>
        </is>
      </c>
      <c r="C857" s="6" t="inlineStr">
        <is>
          <t>18/02/2026</t>
        </is>
      </c>
      <c r="D857" s="6" t="inlineStr">
        <is>
          <t>CONTENEDORES</t>
        </is>
      </c>
      <c r="E857" s="6" t="inlineStr">
        <is>
          <t>CONTENEDORES MENDOZA SL.</t>
        </is>
      </c>
      <c r="F857" s="6" t="inlineStr">
        <is>
          <t>IMPUTADO</t>
        </is>
      </c>
      <c r="G857" s="4" t="n">
        <v>1540</v>
      </c>
    </row>
    <row r="858">
      <c r="A858" s="6" t="inlineStr">
        <is>
          <t>OBRA LA PARTE DIFICIL - EDIFICIO ALICANTE - C/MAESTRO BARBIERI</t>
        </is>
      </c>
      <c r="B858" s="6" t="inlineStr">
        <is>
          <t>1.131,00</t>
        </is>
      </c>
      <c r="C858" s="6" t="inlineStr">
        <is>
          <t>16/03/2026</t>
        </is>
      </c>
      <c r="D858" s="6" t="inlineStr">
        <is>
          <t>BOMBA CIMENTACION</t>
        </is>
      </c>
      <c r="E858" s="6" t="inlineStr">
        <is>
          <t>LORENZO ROMERO MORALEDA</t>
        </is>
      </c>
      <c r="F858" s="6" t="inlineStr">
        <is>
          <t>IMPUTADO</t>
        </is>
      </c>
      <c r="G858" s="4" t="n">
        <v>1360</v>
      </c>
    </row>
    <row r="859">
      <c r="A859" s="6" t="inlineStr">
        <is>
          <t>OBRA LA PARTE DIFICIL - EDIFICIO ALICANTE - C/MAESTRO BARBIERI</t>
        </is>
      </c>
      <c r="B859" s="6" t="inlineStr">
        <is>
          <t>805,00</t>
        </is>
      </c>
      <c r="C859" s="6" t="inlineStr">
        <is>
          <t>18/02/2026</t>
        </is>
      </c>
      <c r="D859" s="6" t="inlineStr">
        <is>
          <t>CONTENEDORES</t>
        </is>
      </c>
      <c r="E859" s="6" t="inlineStr">
        <is>
          <t>CONTENEDORES MENDOZA SL.</t>
        </is>
      </c>
      <c r="F859" s="6" t="inlineStr">
        <is>
          <t>IMPUTADO</t>
        </is>
      </c>
      <c r="G859" s="4" t="n">
        <v>880</v>
      </c>
    </row>
    <row r="860">
      <c r="A860" s="6" t="inlineStr">
        <is>
          <t>OBRA LA PARTE DIFICIL - EDIFICIO ALICANTE - C/MAESTRO BARBIERI</t>
        </is>
      </c>
      <c r="B860" s="6" t="inlineStr">
        <is>
          <t>808,00</t>
        </is>
      </c>
      <c r="C860" s="6" t="inlineStr">
        <is>
          <t>18/02/2026</t>
        </is>
      </c>
      <c r="D860" s="6" t="inlineStr">
        <is>
          <t>CONTENEDORES</t>
        </is>
      </c>
      <c r="E860" s="6" t="inlineStr">
        <is>
          <t>CONTENEDORES MENDOZA SL.</t>
        </is>
      </c>
      <c r="F860" s="6" t="inlineStr">
        <is>
          <t>IMPUTADO</t>
        </is>
      </c>
      <c r="G860" s="4" t="n">
        <v>660</v>
      </c>
    </row>
    <row r="861">
      <c r="A861" s="6" t="inlineStr">
        <is>
          <t>OBRA LA PARTE DIFICIL - EDIFICIO ALICANTE - C/MAESTRO BARBIERI</t>
        </is>
      </c>
      <c r="B861" s="6" t="inlineStr">
        <is>
          <t>804,00</t>
        </is>
      </c>
      <c r="C861" s="6" t="inlineStr">
        <is>
          <t>18/02/2026</t>
        </is>
      </c>
      <c r="D861" s="6" t="inlineStr">
        <is>
          <t>CONTENEDORES</t>
        </is>
      </c>
      <c r="E861" s="6" t="inlineStr">
        <is>
          <t>CONTENEDORES MENDOZA SL.</t>
        </is>
      </c>
      <c r="F861" s="6" t="inlineStr">
        <is>
          <t>IMPUTADO</t>
        </is>
      </c>
      <c r="G861" s="4" t="n">
        <v>660</v>
      </c>
    </row>
    <row r="862">
      <c r="A862" s="6" t="inlineStr">
        <is>
          <t>OBRA LA PARTE DIFICIL - EDIFICIO ALICANTE - C/MAESTRO BARBIERI</t>
        </is>
      </c>
      <c r="B862" s="6" t="inlineStr">
        <is>
          <t>801,00</t>
        </is>
      </c>
      <c r="C862" s="6" t="inlineStr">
        <is>
          <t>18/02/2026</t>
        </is>
      </c>
      <c r="D862" s="6" t="inlineStr">
        <is>
          <t>MEJORAS  B  CONTENEDORES</t>
        </is>
      </c>
      <c r="E862" s="6" t="inlineStr">
        <is>
          <t>SIRVENT E HIJOS SL</t>
        </is>
      </c>
      <c r="F862" s="6" t="inlineStr">
        <is>
          <t>SIN IMPUTAR</t>
        </is>
      </c>
      <c r="G862" s="4" t="n">
        <v>653</v>
      </c>
    </row>
    <row r="863">
      <c r="A863" s="6" t="inlineStr">
        <is>
          <t>OBRA LA PARTE DIFICIL - EDIFICIO ALICANTE - C/MAESTRO BARBIERI</t>
        </is>
      </c>
      <c r="B863" s="6" t="inlineStr">
        <is>
          <t>898,00</t>
        </is>
      </c>
      <c r="C863" s="6" t="inlineStr">
        <is>
          <t>04/03/2026</t>
        </is>
      </c>
      <c r="D863" s="6" t="inlineStr">
        <is>
          <t>PRESUPUESTO Nº605142-2</t>
        </is>
      </c>
      <c r="E863" s="6" t="inlineStr">
        <is>
          <t>LEROY MERLIN ESPAÑA SL</t>
        </is>
      </c>
      <c r="F863" s="6" t="inlineStr">
        <is>
          <t>IMPUTADO</t>
        </is>
      </c>
      <c r="G863" s="4" t="n">
        <v>601.51</v>
      </c>
    </row>
    <row r="864">
      <c r="A864" s="6" t="inlineStr">
        <is>
          <t>OBRA LA PARTE DIFICIL - EDIFICIO ALICANTE - C/MAESTRO BARBIERI</t>
        </is>
      </c>
      <c r="B864" s="6" t="inlineStr">
        <is>
          <t>897,00</t>
        </is>
      </c>
      <c r="C864" s="6" t="inlineStr">
        <is>
          <t>04/03/2026</t>
        </is>
      </c>
      <c r="D864" s="6" t="inlineStr">
        <is>
          <t>PRESUPUESTO Nº 605142-1</t>
        </is>
      </c>
      <c r="E864" s="6" t="inlineStr">
        <is>
          <t>LEROY MERLIN ESPAÑA SL</t>
        </is>
      </c>
      <c r="F864" s="6" t="inlineStr">
        <is>
          <t>IMPUTADO</t>
        </is>
      </c>
      <c r="G864" s="4" t="n">
        <v>584.48</v>
      </c>
    </row>
    <row r="865">
      <c r="A865" s="6" t="inlineStr">
        <is>
          <t>OBRA LA PARTE DIFICIL - EDIFICIO ALICANTE - C/MAESTRO BARBIERI</t>
        </is>
      </c>
      <c r="B865" s="6" t="inlineStr">
        <is>
          <t>807,00</t>
        </is>
      </c>
      <c r="C865" s="6" t="inlineStr">
        <is>
          <t>18/02/2026</t>
        </is>
      </c>
      <c r="D865" s="6" t="inlineStr">
        <is>
          <t>CONTENEDORES</t>
        </is>
      </c>
      <c r="E865" s="6" t="inlineStr">
        <is>
          <t>CONTENEDORES MENDOZA SL.</t>
        </is>
      </c>
      <c r="F865" s="6" t="inlineStr">
        <is>
          <t>IMPUTADO</t>
        </is>
      </c>
      <c r="G865" s="4" t="n">
        <v>440</v>
      </c>
    </row>
    <row r="866">
      <c r="A866" s="6" t="inlineStr">
        <is>
          <t>OBRA LA PARTE DIFICIL - EDIFICIO ALICANTE - C/MAESTRO BARBIERI</t>
        </is>
      </c>
      <c r="B866" s="6" t="inlineStr">
        <is>
          <t>806,00</t>
        </is>
      </c>
      <c r="C866" s="6" t="inlineStr">
        <is>
          <t>18/02/2026</t>
        </is>
      </c>
      <c r="D866" s="6" t="inlineStr">
        <is>
          <t>CONTENEDORES</t>
        </is>
      </c>
      <c r="E866" s="6" t="inlineStr">
        <is>
          <t>CONTENEDORES MENDOZA SL.</t>
        </is>
      </c>
      <c r="F866" s="6" t="inlineStr">
        <is>
          <t>IMPUTADO</t>
        </is>
      </c>
      <c r="G866" s="4" t="n">
        <v>440</v>
      </c>
    </row>
    <row r="867">
      <c r="A867" s="6" t="inlineStr">
        <is>
          <t>OBRA LA PARTE DIFICIL - EDIFICIO ALICANTE - C/MAESTRO BARBIERI</t>
        </is>
      </c>
      <c r="B867" s="6" t="inlineStr">
        <is>
          <t>809,00</t>
        </is>
      </c>
      <c r="C867" s="6" t="inlineStr">
        <is>
          <t>18/02/2026</t>
        </is>
      </c>
      <c r="D867" s="6" t="inlineStr">
        <is>
          <t>ELECTRICIDAD OBRA</t>
        </is>
      </c>
      <c r="E867" s="6" t="inlineStr"/>
      <c r="F867" s="6" t="inlineStr">
        <is>
          <t>IMPUTADO</t>
        </is>
      </c>
      <c r="G867" s="4" t="n">
        <v>434.3</v>
      </c>
    </row>
    <row r="868">
      <c r="A868" s="6" t="inlineStr">
        <is>
          <t>OBRA LA PARTE DIFICIL - EDIFICIO ALICANTE - C/MAESTRO BARBIERI</t>
        </is>
      </c>
      <c r="B868" s="6" t="inlineStr">
        <is>
          <t>869,00</t>
        </is>
      </c>
      <c r="C868" s="6" t="inlineStr">
        <is>
          <t>03/03/2026</t>
        </is>
      </c>
      <c r="D868" s="6" t="inlineStr">
        <is>
          <t>Leroy Merlin (presupuesto 605357)</t>
        </is>
      </c>
      <c r="E868" s="6" t="inlineStr">
        <is>
          <t>LEROY MERLIN ESPAÑA SL</t>
        </is>
      </c>
      <c r="F868" s="6" t="inlineStr">
        <is>
          <t>IMPUTADO</t>
        </is>
      </c>
      <c r="G868" s="4" t="n">
        <v>401.26</v>
      </c>
    </row>
    <row r="869">
      <c r="A869" s="6" t="inlineStr">
        <is>
          <t>OBRA LA PARTE DIFICIL - EDIFICIO ALICANTE - C/MAESTRO BARBIERI</t>
        </is>
      </c>
      <c r="B869" s="6" t="inlineStr">
        <is>
          <t>802,00</t>
        </is>
      </c>
      <c r="C869" s="6" t="inlineStr">
        <is>
          <t>18/02/2026</t>
        </is>
      </c>
      <c r="D869" s="6" t="inlineStr">
        <is>
          <t>CONTENEDOR</t>
        </is>
      </c>
      <c r="E869" s="6" t="inlineStr">
        <is>
          <t>RECICLESAN SL</t>
        </is>
      </c>
      <c r="F869" s="6" t="inlineStr">
        <is>
          <t>IMPUTADO</t>
        </is>
      </c>
      <c r="G869" s="4" t="n">
        <v>260</v>
      </c>
    </row>
    <row r="870">
      <c r="A870" s="6" t="inlineStr">
        <is>
          <t>OBRA LA PARTE DIFICIL - EDIFICIO ALICANTE - C/MAESTRO BARBIERI</t>
        </is>
      </c>
      <c r="B870" s="6" t="inlineStr">
        <is>
          <t>803,00</t>
        </is>
      </c>
      <c r="C870" s="6" t="inlineStr">
        <is>
          <t>18/02/2026</t>
        </is>
      </c>
      <c r="D870" s="6" t="inlineStr">
        <is>
          <t>CONTENEDORES</t>
        </is>
      </c>
      <c r="E870" s="6" t="inlineStr">
        <is>
          <t>CONTENEDORES MENDOZA SL.</t>
        </is>
      </c>
      <c r="F870" s="6" t="inlineStr">
        <is>
          <t>IMPUTADO</t>
        </is>
      </c>
      <c r="G870" s="4" t="n">
        <v>220</v>
      </c>
    </row>
    <row r="871">
      <c r="A871" s="6" t="inlineStr">
        <is>
          <t>OBRA LA PARTE DIFICIL - EDIFICIO ALICANTE - C/MAESTRO BARBIERI</t>
        </is>
      </c>
      <c r="B871" s="6" t="inlineStr">
        <is>
          <t>1.642,00</t>
        </is>
      </c>
      <c r="C871" s="6" t="inlineStr"/>
      <c r="D871" s="6" t="inlineStr">
        <is>
          <t>CONTENEDOR #mejoras B</t>
        </is>
      </c>
      <c r="E871" s="6" t="inlineStr">
        <is>
          <t>SIRVENT E HIJOS SL</t>
        </is>
      </c>
      <c r="F871" s="6" t="inlineStr">
        <is>
          <t>SIN IMPUTAR</t>
        </is>
      </c>
      <c r="G871" s="4" t="n">
        <v>180</v>
      </c>
    </row>
    <row r="872">
      <c r="A872" s="6" t="inlineStr">
        <is>
          <t>OBRA LA PARTE DIFICIL - EDIFICIO ALICANTE - C/MAESTRO BARBIERI</t>
        </is>
      </c>
      <c r="B872" s="6" t="inlineStr">
        <is>
          <t>1.633,00</t>
        </is>
      </c>
      <c r="C872" s="6" t="inlineStr"/>
      <c r="D872" s="6" t="inlineStr">
        <is>
          <t>CONTENEDOR #mejoras B</t>
        </is>
      </c>
      <c r="E872" s="6" t="inlineStr">
        <is>
          <t>SIRVENT E HIJOS SL</t>
        </is>
      </c>
      <c r="F872" s="6" t="inlineStr">
        <is>
          <t>SIN IMPUTAR</t>
        </is>
      </c>
      <c r="G872" s="4" t="n">
        <v>180</v>
      </c>
    </row>
    <row r="873">
      <c r="A873" s="6" t="inlineStr">
        <is>
          <t>OBRA LA PARTE DIFICIL - EDIFICIO ALICANTE - C/MAESTRO BARBIERI</t>
        </is>
      </c>
      <c r="B873" s="6" t="inlineStr">
        <is>
          <t>896,00</t>
        </is>
      </c>
      <c r="C873" s="6" t="inlineStr">
        <is>
          <t>03/03/2026</t>
        </is>
      </c>
      <c r="D873" s="6" t="inlineStr">
        <is>
          <t>CONTENEDORES</t>
        </is>
      </c>
      <c r="E873" s="6" t="inlineStr">
        <is>
          <t>SIRVENT E HIJOS SL</t>
        </is>
      </c>
      <c r="F873" s="6" t="inlineStr">
        <is>
          <t>IMPUTADO</t>
        </is>
      </c>
      <c r="G873" s="4" t="n">
        <v>180</v>
      </c>
    </row>
    <row r="874">
      <c r="A874" s="6" t="inlineStr">
        <is>
          <t>OBRA LA PARTE DIFICIL - EDIFICIO ALICANTE - C/MAESTRO BARBIERI</t>
        </is>
      </c>
      <c r="B874" s="6" t="inlineStr">
        <is>
          <t>800,00</t>
        </is>
      </c>
      <c r="C874" s="6" t="inlineStr">
        <is>
          <t>18/02/2026</t>
        </is>
      </c>
      <c r="D874" s="6" t="inlineStr">
        <is>
          <t>MEJORAS B CONTENEDORES</t>
        </is>
      </c>
      <c r="E874" s="6" t="inlineStr">
        <is>
          <t>SIRVENT E HIJOS SL</t>
        </is>
      </c>
      <c r="F874" s="6" t="inlineStr">
        <is>
          <t>SIN IMPUTAR</t>
        </is>
      </c>
      <c r="G874" s="4" t="n">
        <v>180</v>
      </c>
    </row>
    <row r="875">
      <c r="A875" s="6" t="inlineStr">
        <is>
          <t>OBRA LA PARTE DIFICIL - EDIFICIO ALICANTE - C/MAESTRO BARBIERI</t>
        </is>
      </c>
      <c r="B875" s="6" t="inlineStr">
        <is>
          <t>799,00</t>
        </is>
      </c>
      <c r="C875" s="6" t="inlineStr">
        <is>
          <t>18/02/2026</t>
        </is>
      </c>
      <c r="D875" s="6" t="inlineStr">
        <is>
          <t>MEJORAS B CONTENEDOR</t>
        </is>
      </c>
      <c r="E875" s="6" t="inlineStr">
        <is>
          <t>SIRVENT E HIJOS SL</t>
        </is>
      </c>
      <c r="F875" s="6" t="inlineStr">
        <is>
          <t>SIN IMPUTAR</t>
        </is>
      </c>
      <c r="G875" s="4" t="n">
        <v>180</v>
      </c>
    </row>
    <row r="876">
      <c r="A876" s="6" t="inlineStr">
        <is>
          <t>OBRA LA PARTE DIFICIL - EDIFICIO ALICANTE - C/MAESTRO BARBIERI</t>
        </is>
      </c>
      <c r="B876" s="6" t="inlineStr">
        <is>
          <t>798,00</t>
        </is>
      </c>
      <c r="C876" s="6" t="inlineStr">
        <is>
          <t>18/02/2026</t>
        </is>
      </c>
      <c r="D876" s="6" t="inlineStr">
        <is>
          <t>MEJORAS B CONTENEDORES</t>
        </is>
      </c>
      <c r="E876" s="6" t="inlineStr">
        <is>
          <t>SIRVENT E HIJOS SL</t>
        </is>
      </c>
      <c r="F876" s="6" t="inlineStr">
        <is>
          <t>SIN IMPUTAR</t>
        </is>
      </c>
      <c r="G876" s="4" t="n">
        <v>180</v>
      </c>
    </row>
    <row r="877">
      <c r="A877" s="6" t="inlineStr">
        <is>
          <t>OBRA LA PARTE DIFICIL - EDIFICIO ALICANTE - C/MAESTRO BARBIERI</t>
        </is>
      </c>
      <c r="B877" s="6" t="inlineStr">
        <is>
          <t>797,00</t>
        </is>
      </c>
      <c r="C877" s="6" t="inlineStr">
        <is>
          <t>18/02/2026</t>
        </is>
      </c>
      <c r="D877" s="6" t="inlineStr">
        <is>
          <t>MEJORAS B CONTENEDORES</t>
        </is>
      </c>
      <c r="E877" s="6" t="inlineStr">
        <is>
          <t>SIRVENT E HIJOS SL</t>
        </is>
      </c>
      <c r="F877" s="6" t="inlineStr">
        <is>
          <t>SIN IMPUTAR</t>
        </is>
      </c>
      <c r="G877" s="4" t="n">
        <v>180</v>
      </c>
    </row>
    <row r="878">
      <c r="A878" s="6" t="inlineStr">
        <is>
          <t>OBRA LA PARTE DIFICIL - EDIFICIO ALICANTE - C/MAESTRO BARBIERI</t>
        </is>
      </c>
      <c r="B878" s="6" t="inlineStr">
        <is>
          <t>796,00</t>
        </is>
      </c>
      <c r="C878" s="6" t="inlineStr">
        <is>
          <t>18/02/2026</t>
        </is>
      </c>
      <c r="D878" s="6" t="inlineStr">
        <is>
          <t>MEJORAS B CONTENEDORES</t>
        </is>
      </c>
      <c r="E878" s="6" t="inlineStr">
        <is>
          <t>SIRVENT E HIJOS SL</t>
        </is>
      </c>
      <c r="F878" s="6" t="inlineStr">
        <is>
          <t>SIN IMPUTAR</t>
        </is>
      </c>
      <c r="G878" s="4" t="n">
        <v>180</v>
      </c>
    </row>
    <row r="879">
      <c r="A879" s="6" t="inlineStr">
        <is>
          <t>OBRA LA PARTE DIFICIL - EDIFICIO ALICANTE - C/MAESTRO BARBIERI</t>
        </is>
      </c>
      <c r="B879" s="6" t="inlineStr">
        <is>
          <t>795,00</t>
        </is>
      </c>
      <c r="C879" s="6" t="inlineStr">
        <is>
          <t>18/02/2026</t>
        </is>
      </c>
      <c r="D879" s="6" t="inlineStr">
        <is>
          <t>MEJORAS B CONTENEDORES</t>
        </is>
      </c>
      <c r="E879" s="6" t="inlineStr">
        <is>
          <t>SIRVENT E HIJOS SL</t>
        </is>
      </c>
      <c r="F879" s="6" t="inlineStr">
        <is>
          <t>SIN IMPUTAR</t>
        </is>
      </c>
      <c r="G879" s="4" t="n">
        <v>180</v>
      </c>
    </row>
    <row r="880">
      <c r="A880" s="6" t="inlineStr">
        <is>
          <t>OBRA LA PARTE DIFICIL - EDIFICIO ALICANTE - C/MAESTRO BARBIERI</t>
        </is>
      </c>
      <c r="B880" s="6" t="inlineStr">
        <is>
          <t>1.112,00</t>
        </is>
      </c>
      <c r="C880" s="6" t="inlineStr">
        <is>
          <t>16/03/2026</t>
        </is>
      </c>
      <c r="D880" s="6" t="inlineStr">
        <is>
          <t>TOMA TIERRA CIMENTACIÓN</t>
        </is>
      </c>
      <c r="E880" s="6" t="inlineStr">
        <is>
          <t>BRICOLAJE BRICOMAN SLU</t>
        </is>
      </c>
      <c r="F880" s="6" t="inlineStr">
        <is>
          <t>IMPUTADO</t>
        </is>
      </c>
      <c r="G880" s="4" t="n">
        <v>155.67</v>
      </c>
    </row>
    <row r="881">
      <c r="A881" s="6" t="inlineStr">
        <is>
          <t>OBRA LA PARTE DIFICIL - EDIFICIO ALICANTE - C/MAESTRO BARBIERI</t>
        </is>
      </c>
      <c r="B881" s="6" t="inlineStr">
        <is>
          <t>1.134,00</t>
        </is>
      </c>
      <c r="C881" s="6" t="inlineStr">
        <is>
          <t>16/03/2026</t>
        </is>
      </c>
      <c r="D881" s="6" t="inlineStr">
        <is>
          <t>ESTRUCTURA METÁLICA</t>
        </is>
      </c>
      <c r="E881" s="6" t="inlineStr">
        <is>
          <t>ALEJANDRO CUTILLAS CAÑABATE</t>
        </is>
      </c>
      <c r="F881" s="6" t="inlineStr">
        <is>
          <t>IMPUTADO</t>
        </is>
      </c>
      <c r="G881" s="4" t="n">
        <v>107.4</v>
      </c>
    </row>
    <row r="882">
      <c r="A882" s="6" t="inlineStr">
        <is>
          <t>OBRA LA PARTE DIFICIL - EDIFICIO ALICANTE - C/MAESTRO BARBIERI</t>
        </is>
      </c>
      <c r="B882" s="6" t="inlineStr">
        <is>
          <t>1.208,00</t>
        </is>
      </c>
      <c r="C882" s="6" t="inlineStr">
        <is>
          <t>05/05/2026</t>
        </is>
      </c>
      <c r="D882" s="6" t="inlineStr">
        <is>
          <t>TOMAS CIMENTACION</t>
        </is>
      </c>
      <c r="E882" s="6" t="inlineStr">
        <is>
          <t>LABORATORIO DE INGENIERIA Y MEDIO AMBIENTE SA.</t>
        </is>
      </c>
      <c r="F882" s="6" t="inlineStr">
        <is>
          <t>IMPUTADO</t>
        </is>
      </c>
      <c r="G882" s="4" t="n">
        <v>100</v>
      </c>
    </row>
    <row r="883">
      <c r="A883" s="6" t="inlineStr">
        <is>
          <t>OBRA LA PARTE DIFICIL - EDIFICIO ALICANTE - C/MAESTRO BARBIERI</t>
        </is>
      </c>
      <c r="B883" s="6" t="inlineStr">
        <is>
          <t>1.238,00</t>
        </is>
      </c>
      <c r="C883" s="6" t="inlineStr"/>
      <c r="D883" s="6" t="inlineStr">
        <is>
          <t>TIMA TIERRA CIMENTACION</t>
        </is>
      </c>
      <c r="E883" s="6" t="inlineStr">
        <is>
          <t>BRICOLAJE BRICOMAN SLU</t>
        </is>
      </c>
      <c r="F883" s="6" t="inlineStr">
        <is>
          <t>SIN IMPUTAR</t>
        </is>
      </c>
      <c r="G883" s="4" t="n">
        <v>23.27</v>
      </c>
    </row>
    <row r="884">
      <c r="A884" s="6" t="inlineStr">
        <is>
          <t>OBRA LA PARTE DIFICIL - EDIFICIO ALICANTE - C/MAESTRO BARBIERI</t>
        </is>
      </c>
      <c r="B884" s="6" t="inlineStr">
        <is>
          <t>1.111,00</t>
        </is>
      </c>
      <c r="C884" s="6" t="inlineStr">
        <is>
          <t>16/03/2026</t>
        </is>
      </c>
      <c r="D884" s="6" t="inlineStr">
        <is>
          <t>DISCOS DE CORTE</t>
        </is>
      </c>
      <c r="E884" s="6" t="inlineStr">
        <is>
          <t>LEROY MERLIN ESPAÑA SL</t>
        </is>
      </c>
      <c r="F884" s="6" t="inlineStr">
        <is>
          <t>IMPUTADO</t>
        </is>
      </c>
      <c r="G884" s="4" t="n">
        <v>7.62</v>
      </c>
    </row>
    <row r="885">
      <c r="A885" s="6" t="inlineStr">
        <is>
          <t>OBRA LUC2 (ADMINISTRACION)</t>
        </is>
      </c>
      <c r="B885" s="6" t="inlineStr">
        <is>
          <t>1.100,00</t>
        </is>
      </c>
      <c r="C885" s="6" t="inlineStr">
        <is>
          <t>11/03/2026</t>
        </is>
      </c>
      <c r="D885" s="6" t="inlineStr">
        <is>
          <t>HIERRO CIMENTACIÓN Y FORJADO</t>
        </is>
      </c>
      <c r="E885" s="6" t="inlineStr">
        <is>
          <t>FERRALLAS MONFORTE DEL CID SL.</t>
        </is>
      </c>
      <c r="F885" s="6" t="inlineStr">
        <is>
          <t>IMPUTADO</t>
        </is>
      </c>
      <c r="G885" s="4" t="n">
        <v>4086.16</v>
      </c>
    </row>
    <row r="886">
      <c r="A886" s="6" t="inlineStr">
        <is>
          <t>OBRA LUC2 (ADMINISTRACION)</t>
        </is>
      </c>
      <c r="B886" s="6" t="inlineStr">
        <is>
          <t>862,00</t>
        </is>
      </c>
      <c r="C886" s="6" t="inlineStr">
        <is>
          <t>25/02/2026</t>
        </is>
      </c>
      <c r="D886" s="6" t="inlineStr">
        <is>
          <t>EXCAVACIÓN CIMENTACIÓN</t>
        </is>
      </c>
      <c r="E886" s="6" t="inlineStr">
        <is>
          <t>TREXGRUCO SL.</t>
        </is>
      </c>
      <c r="F886" s="6" t="inlineStr">
        <is>
          <t>IMPUTADO</t>
        </is>
      </c>
      <c r="G886" s="4" t="n">
        <v>3947.76</v>
      </c>
    </row>
    <row r="887">
      <c r="A887" s="6" t="inlineStr">
        <is>
          <t>OBRA LUC2 (ADMINISTRACION)</t>
        </is>
      </c>
      <c r="B887" s="6" t="inlineStr">
        <is>
          <t>1.242,00</t>
        </is>
      </c>
      <c r="C887" s="6" t="inlineStr">
        <is>
          <t>09/04/2026</t>
        </is>
      </c>
      <c r="D887" s="6" t="inlineStr">
        <is>
          <t>Presupuesto nº 614823</t>
        </is>
      </c>
      <c r="E887" s="6" t="inlineStr">
        <is>
          <t>LEROY MERLIN ESPAÑA SL</t>
        </is>
      </c>
      <c r="F887" s="6" t="inlineStr">
        <is>
          <t>IMPUTADO</t>
        </is>
      </c>
      <c r="G887" s="4" t="n">
        <v>2780.18</v>
      </c>
    </row>
    <row r="888">
      <c r="A888" s="6" t="inlineStr">
        <is>
          <t>OBRA LUC2 (ADMINISTRACION)</t>
        </is>
      </c>
      <c r="B888" s="6" t="inlineStr">
        <is>
          <t>1.113,00</t>
        </is>
      </c>
      <c r="C888" s="6" t="inlineStr">
        <is>
          <t>12/03/2026</t>
        </is>
      </c>
      <c r="D888" s="6" t="inlineStr">
        <is>
          <t>MATERIAL OBRA</t>
        </is>
      </c>
      <c r="E888" s="6" t="inlineStr">
        <is>
          <t>LEROY MERLIN ESPAÑA SL</t>
        </is>
      </c>
      <c r="F888" s="6" t="inlineStr">
        <is>
          <t>IMPUTADO</t>
        </is>
      </c>
      <c r="G888" s="4" t="n">
        <v>2693.07</v>
      </c>
    </row>
    <row r="889">
      <c r="A889" s="6" t="inlineStr">
        <is>
          <t>OBRA LUC2 (ADMINISTRACION)</t>
        </is>
      </c>
      <c r="B889" s="6" t="inlineStr">
        <is>
          <t>1.151,00</t>
        </is>
      </c>
      <c r="C889" s="6" t="inlineStr">
        <is>
          <t>17/03/2026</t>
        </is>
      </c>
      <c r="D889" s="6" t="inlineStr">
        <is>
          <t>MATERIAL OBRA</t>
        </is>
      </c>
      <c r="E889" s="6" t="inlineStr">
        <is>
          <t>LEROY MERLIN ESPAÑA SL</t>
        </is>
      </c>
      <c r="F889" s="6" t="inlineStr">
        <is>
          <t>IMPUTADO</t>
        </is>
      </c>
      <c r="G889" s="4" t="n">
        <v>2656.74</v>
      </c>
    </row>
    <row r="890">
      <c r="A890" s="6" t="inlineStr">
        <is>
          <t>OBRA LUC2 (ADMINISTRACION)</t>
        </is>
      </c>
      <c r="B890" s="6" t="inlineStr">
        <is>
          <t>1.545,00</t>
        </is>
      </c>
      <c r="C890" s="6" t="inlineStr">
        <is>
          <t>06/05/2026</t>
        </is>
      </c>
      <c r="D890" s="6" t="inlineStr">
        <is>
          <t>HORMIGON</t>
        </is>
      </c>
      <c r="E890" s="6" t="inlineStr">
        <is>
          <t>CANTERAS Y RECICLADOS SL.</t>
        </is>
      </c>
      <c r="F890" s="6" t="inlineStr">
        <is>
          <t>IMPUTADO</t>
        </is>
      </c>
      <c r="G890" s="4" t="n">
        <v>2595</v>
      </c>
    </row>
    <row r="891">
      <c r="A891" s="6" t="inlineStr">
        <is>
          <t>OBRA LUC2 (ADMINISTRACION)</t>
        </is>
      </c>
      <c r="B891" s="6" t="inlineStr">
        <is>
          <t>1.278,00</t>
        </is>
      </c>
      <c r="C891" s="6" t="inlineStr">
        <is>
          <t>17/04/2026</t>
        </is>
      </c>
      <c r="D891" s="6" t="inlineStr">
        <is>
          <t>PRESUPUESTO 616670</t>
        </is>
      </c>
      <c r="E891" s="6" t="inlineStr">
        <is>
          <t>LEROY MERLIN ESPAÑA SL</t>
        </is>
      </c>
      <c r="F891" s="6" t="inlineStr">
        <is>
          <t>IMPUTADO</t>
        </is>
      </c>
      <c r="G891" s="4" t="n">
        <v>2499.9</v>
      </c>
    </row>
    <row r="892">
      <c r="A892" s="6" t="inlineStr">
        <is>
          <t>OBRA LUC2 (ADMINISTRACION)</t>
        </is>
      </c>
      <c r="B892" s="6" t="inlineStr">
        <is>
          <t>1.202,00</t>
        </is>
      </c>
      <c r="C892" s="6" t="inlineStr">
        <is>
          <t>15/04/2026</t>
        </is>
      </c>
      <c r="D892" s="6" t="inlineStr">
        <is>
          <t>HORMIGON LLENADO MUROS</t>
        </is>
      </c>
      <c r="E892" s="6" t="inlineStr">
        <is>
          <t>ARIDOS Y HORMIGONES CUTILLAS S.L.</t>
        </is>
      </c>
      <c r="F892" s="6" t="inlineStr">
        <is>
          <t>IMPUTADO</t>
        </is>
      </c>
      <c r="G892" s="4" t="n">
        <v>2256</v>
      </c>
    </row>
    <row r="893">
      <c r="A893" s="6" t="inlineStr">
        <is>
          <t>OBRA LUC2 (ADMINISTRACION)</t>
        </is>
      </c>
      <c r="B893" s="6" t="inlineStr">
        <is>
          <t>1.129,00</t>
        </is>
      </c>
      <c r="C893" s="6" t="inlineStr">
        <is>
          <t>16/03/2026</t>
        </is>
      </c>
      <c r="D893" s="6" t="inlineStr">
        <is>
          <t>HORMIGÓN CIMENTACIÓN</t>
        </is>
      </c>
      <c r="E893" s="6" t="inlineStr">
        <is>
          <t>ARIDOS Y HORMIGONES CUTILLAS S.L.</t>
        </is>
      </c>
      <c r="F893" s="6" t="inlineStr">
        <is>
          <t>IMPUTADO</t>
        </is>
      </c>
      <c r="G893" s="4" t="n">
        <v>1710</v>
      </c>
    </row>
    <row r="894">
      <c r="A894" s="6" t="inlineStr">
        <is>
          <t>OBRA LUC2 (ADMINISTRACION)</t>
        </is>
      </c>
      <c r="B894" s="6" t="inlineStr">
        <is>
          <t>891,00</t>
        </is>
      </c>
      <c r="C894" s="6" t="inlineStr">
        <is>
          <t>03/03/2026</t>
        </is>
      </c>
      <c r="D894" s="6" t="inlineStr">
        <is>
          <t>EXCAVACIÓN CIMENTACION</t>
        </is>
      </c>
      <c r="E894" s="6" t="inlineStr">
        <is>
          <t>TREXGRUCO SL.</t>
        </is>
      </c>
      <c r="F894" s="6" t="inlineStr">
        <is>
          <t>IMPUTADO</t>
        </is>
      </c>
      <c r="G894" s="4" t="n">
        <v>1624</v>
      </c>
    </row>
    <row r="895">
      <c r="A895" s="6" t="inlineStr">
        <is>
          <t>OBRA LUC2 (ADMINISTRACION)</t>
        </is>
      </c>
      <c r="B895" s="6" t="inlineStr">
        <is>
          <t>1.256,00</t>
        </is>
      </c>
      <c r="C895" s="6" t="inlineStr">
        <is>
          <t>15/04/2026</t>
        </is>
      </c>
      <c r="D895" s="6" t="inlineStr">
        <is>
          <t>LLENADO FORJADO #llenado forjado sotano</t>
        </is>
      </c>
      <c r="E895" s="6" t="inlineStr">
        <is>
          <t>ARIDOS Y HORMIGONES CUTILLAS S.L.</t>
        </is>
      </c>
      <c r="F895" s="6" t="inlineStr">
        <is>
          <t>IMPUTADO</t>
        </is>
      </c>
      <c r="G895" s="4" t="n">
        <v>1620</v>
      </c>
    </row>
    <row r="896">
      <c r="A896" s="6" t="inlineStr">
        <is>
          <t>OBRA LUC2 (ADMINISTRACION)</t>
        </is>
      </c>
      <c r="B896" s="6" t="inlineStr">
        <is>
          <t>1.525,00</t>
        </is>
      </c>
      <c r="C896" s="6" t="inlineStr">
        <is>
          <t>05/05/2026</t>
        </is>
      </c>
      <c r="D896" s="6" t="inlineStr">
        <is>
          <t>GRUA</t>
        </is>
      </c>
      <c r="E896" s="6" t="inlineStr">
        <is>
          <t>GRUAS Y MAQUINARIA PETREL SL</t>
        </is>
      </c>
      <c r="F896" s="6" t="inlineStr">
        <is>
          <t>IMPUTADO</t>
        </is>
      </c>
      <c r="G896" s="4" t="n">
        <v>1560</v>
      </c>
    </row>
    <row r="897">
      <c r="A897" s="6" t="inlineStr">
        <is>
          <t>OBRA LUC2 (ADMINISTRACION)</t>
        </is>
      </c>
      <c r="B897" s="6" t="inlineStr">
        <is>
          <t>1.164,00</t>
        </is>
      </c>
      <c r="C897" s="6" t="inlineStr">
        <is>
          <t>20/03/2026</t>
        </is>
      </c>
      <c r="D897" s="6" t="inlineStr">
        <is>
          <t>GRUA #montar ferralla y repartir</t>
        </is>
      </c>
      <c r="E897" s="6" t="inlineStr">
        <is>
          <t>GRUAS Y MAQUINARIA PETREL SL</t>
        </is>
      </c>
      <c r="F897" s="6" t="inlineStr">
        <is>
          <t>IMPUTADO</t>
        </is>
      </c>
      <c r="G897" s="4" t="n">
        <v>1470</v>
      </c>
    </row>
    <row r="898">
      <c r="A898" s="6" t="inlineStr">
        <is>
          <t>OBRA LUC2 (ADMINISTRACION)</t>
        </is>
      </c>
      <c r="B898" s="6" t="inlineStr">
        <is>
          <t>1.102,00</t>
        </is>
      </c>
      <c r="C898" s="6" t="inlineStr">
        <is>
          <t>11/03/2026</t>
        </is>
      </c>
      <c r="D898" s="6" t="inlineStr">
        <is>
          <t>ALQUILER DUMPER CIMENTACION</t>
        </is>
      </c>
      <c r="E898" s="6" t="inlineStr">
        <is>
          <t>CHOOSEMAK SOCIEDAD DE RESPONSABILIDAD LIMITADA</t>
        </is>
      </c>
      <c r="F898" s="6" t="inlineStr">
        <is>
          <t>IMPUTADO</t>
        </is>
      </c>
      <c r="G898" s="4" t="n">
        <v>1254.74</v>
      </c>
    </row>
    <row r="899">
      <c r="A899" s="6" t="inlineStr">
        <is>
          <t>OBRA LUC2 (ADMINISTRACION)</t>
        </is>
      </c>
      <c r="B899" s="6" t="inlineStr">
        <is>
          <t>1.272,00</t>
        </is>
      </c>
      <c r="C899" s="6" t="inlineStr">
        <is>
          <t>15/04/2026</t>
        </is>
      </c>
      <c r="D899" s="6" t="inlineStr">
        <is>
          <t>GRUA #grua</t>
        </is>
      </c>
      <c r="E899" s="6" t="inlineStr">
        <is>
          <t>GRUAS Y TRANSPORTES ESPECIALES EL ALICANTI SL.</t>
        </is>
      </c>
      <c r="F899" s="6" t="inlineStr">
        <is>
          <t>IMPUTADO</t>
        </is>
      </c>
      <c r="G899" s="4" t="n">
        <v>1170</v>
      </c>
    </row>
    <row r="900">
      <c r="A900" s="6" t="inlineStr">
        <is>
          <t>OBRA LUC2 (ADMINISTRACION)</t>
        </is>
      </c>
      <c r="B900" s="6" t="inlineStr">
        <is>
          <t>1.664,00</t>
        </is>
      </c>
      <c r="C900" s="6" t="inlineStr">
        <is>
          <t>09/06/2026</t>
        </is>
      </c>
      <c r="D900" s="6" t="inlineStr">
        <is>
          <t>BOMBA LORENZO</t>
        </is>
      </c>
      <c r="E900" s="6" t="inlineStr">
        <is>
          <t>LORENZO ROMERO MORALEDA</t>
        </is>
      </c>
      <c r="F900" s="6" t="inlineStr">
        <is>
          <t>IMPUTADO</t>
        </is>
      </c>
      <c r="G900" s="4" t="n">
        <v>1000</v>
      </c>
    </row>
    <row r="901">
      <c r="A901" s="6" t="inlineStr">
        <is>
          <t>OBRA LUC2 (ADMINISTRACION)</t>
        </is>
      </c>
      <c r="B901" s="6" t="inlineStr">
        <is>
          <t>1.769,00</t>
        </is>
      </c>
      <c r="C901" s="6" t="inlineStr">
        <is>
          <t>02/07/2026</t>
        </is>
      </c>
      <c r="D901" s="6" t="inlineStr">
        <is>
          <t>BOMBA HORMIGON</t>
        </is>
      </c>
      <c r="E901" s="6" t="inlineStr">
        <is>
          <t>LORENZO ROMERO MORALEDA</t>
        </is>
      </c>
      <c r="F901" s="6" t="inlineStr">
        <is>
          <t>IMPUTADO</t>
        </is>
      </c>
      <c r="G901" s="4" t="n">
        <v>950</v>
      </c>
    </row>
    <row r="902">
      <c r="A902" s="6" t="inlineStr">
        <is>
          <t>OBRA LUC2 (ADMINISTRACION)</t>
        </is>
      </c>
      <c r="B902" s="6" t="inlineStr">
        <is>
          <t>1.492,00</t>
        </is>
      </c>
      <c r="C902" s="6" t="inlineStr">
        <is>
          <t>29/04/2026</t>
        </is>
      </c>
      <c r="D902" s="6" t="inlineStr">
        <is>
          <t>PRESUPUESTO Nº 613788</t>
        </is>
      </c>
      <c r="E902" s="6" t="inlineStr">
        <is>
          <t>LEROY MERLIN ESPAÑA SL</t>
        </is>
      </c>
      <c r="F902" s="6" t="inlineStr">
        <is>
          <t>IMPUTADO</t>
        </is>
      </c>
      <c r="G902" s="4" t="n">
        <v>911.61</v>
      </c>
    </row>
    <row r="903">
      <c r="A903" s="6" t="inlineStr">
        <is>
          <t>OBRA LUC2 (ADMINISTRACION)</t>
        </is>
      </c>
      <c r="B903" s="6" t="inlineStr">
        <is>
          <t>854,00</t>
        </is>
      </c>
      <c r="C903" s="6" t="inlineStr">
        <is>
          <t>24/02/2026</t>
        </is>
      </c>
      <c r="D903" s="6" t="inlineStr">
        <is>
          <t>VIAJES ESCOMBRO PINOSO-BARINAS</t>
        </is>
      </c>
      <c r="E903" s="6" t="inlineStr">
        <is>
          <t>TRASERCO COOP VALENCIANA</t>
        </is>
      </c>
      <c r="F903" s="6" t="inlineStr">
        <is>
          <t>IMPUTADO</t>
        </is>
      </c>
      <c r="G903" s="4" t="n">
        <v>900</v>
      </c>
    </row>
    <row r="904">
      <c r="A904" s="6" t="inlineStr">
        <is>
          <t>OBRA LUC2 (ADMINISTRACION)</t>
        </is>
      </c>
      <c r="B904" s="6" t="inlineStr">
        <is>
          <t>1.539,00</t>
        </is>
      </c>
      <c r="C904" s="6" t="inlineStr">
        <is>
          <t>06/05/2026</t>
        </is>
      </c>
      <c r="D904" s="6" t="inlineStr">
        <is>
          <t>MATERIAL Y FONTANERIA</t>
        </is>
      </c>
      <c r="E904" s="6" t="inlineStr">
        <is>
          <t>MATERIALES DE CONSTRUCCION LOS CAPITOS SL.</t>
        </is>
      </c>
      <c r="F904" s="6" t="inlineStr">
        <is>
          <t>IMPUTADO</t>
        </is>
      </c>
      <c r="G904" s="4" t="n">
        <v>827.84</v>
      </c>
    </row>
    <row r="905">
      <c r="A905" s="6" t="inlineStr">
        <is>
          <t>OBRA LUC2 (ADMINISTRACION)</t>
        </is>
      </c>
      <c r="B905" s="6" t="inlineStr">
        <is>
          <t>1.661,00</t>
        </is>
      </c>
      <c r="C905" s="6" t="inlineStr">
        <is>
          <t>04/06/2026</t>
        </is>
      </c>
      <c r="D905" s="6" t="inlineStr">
        <is>
          <t>BOMBA LORNZO</t>
        </is>
      </c>
      <c r="E905" s="6" t="inlineStr">
        <is>
          <t>LORENZO ROMERO MORALEDA</t>
        </is>
      </c>
      <c r="F905" s="6" t="inlineStr">
        <is>
          <t>IMPUTADO</t>
        </is>
      </c>
      <c r="G905" s="4" t="n">
        <v>790</v>
      </c>
    </row>
    <row r="906">
      <c r="A906" s="6" t="inlineStr">
        <is>
          <t>OBRA LUC2 (ADMINISTRACION)</t>
        </is>
      </c>
      <c r="B906" s="6" t="inlineStr">
        <is>
          <t>1.477,00</t>
        </is>
      </c>
      <c r="C906" s="6" t="inlineStr">
        <is>
          <t>27/04/2026</t>
        </is>
      </c>
      <c r="D906" s="6" t="inlineStr">
        <is>
          <t>KG ACERO FERRALLADO</t>
        </is>
      </c>
      <c r="E906" s="6" t="inlineStr">
        <is>
          <t>FERRALLAS MONFORTE DEL CID SL.</t>
        </is>
      </c>
      <c r="F906" s="6" t="inlineStr">
        <is>
          <t>IMPUTADO</t>
        </is>
      </c>
      <c r="G906" s="4" t="n">
        <v>788.5</v>
      </c>
    </row>
    <row r="907">
      <c r="A907" s="6" t="inlineStr">
        <is>
          <t>OBRA LUC2 (ADMINISTRACION)</t>
        </is>
      </c>
      <c r="B907" s="6" t="inlineStr">
        <is>
          <t>1.253,00</t>
        </is>
      </c>
      <c r="C907" s="6" t="inlineStr">
        <is>
          <t>15/04/2026</t>
        </is>
      </c>
      <c r="D907" s="6" t="inlineStr">
        <is>
          <t>GRUA</t>
        </is>
      </c>
      <c r="E907" s="6" t="inlineStr">
        <is>
          <t>GRUAS Y MAQUINARIA PETREL SL</t>
        </is>
      </c>
      <c r="F907" s="6" t="inlineStr">
        <is>
          <t>IMPUTADO</t>
        </is>
      </c>
      <c r="G907" s="4" t="n">
        <v>720</v>
      </c>
    </row>
    <row r="908">
      <c r="A908" s="6" t="inlineStr">
        <is>
          <t>OBRA LUC2 (ADMINISTRACION)</t>
        </is>
      </c>
      <c r="B908" s="6" t="inlineStr">
        <is>
          <t>1.478,00</t>
        </is>
      </c>
      <c r="C908" s="6" t="inlineStr">
        <is>
          <t>27/04/2026</t>
        </is>
      </c>
      <c r="D908" s="6" t="inlineStr">
        <is>
          <t>GRUA</t>
        </is>
      </c>
      <c r="E908" s="6" t="inlineStr">
        <is>
          <t>GRUAS Y MAQUINARIA PETREL SL</t>
        </is>
      </c>
      <c r="F908" s="6" t="inlineStr">
        <is>
          <t>IMPUTADO</t>
        </is>
      </c>
      <c r="G908" s="4" t="n">
        <v>715</v>
      </c>
    </row>
    <row r="909">
      <c r="A909" s="6" t="inlineStr">
        <is>
          <t>OBRA LUC2 (ADMINISTRACION)</t>
        </is>
      </c>
      <c r="B909" s="6" t="inlineStr">
        <is>
          <t>1.141,00</t>
        </is>
      </c>
      <c r="C909" s="6" t="inlineStr">
        <is>
          <t>16/03/2026</t>
        </is>
      </c>
      <c r="D909" s="6" t="inlineStr">
        <is>
          <t>BOMBA CIMENTACION</t>
        </is>
      </c>
      <c r="E909" s="6" t="inlineStr">
        <is>
          <t>LORENZO ROMERO MORALEDA</t>
        </is>
      </c>
      <c r="F909" s="6" t="inlineStr">
        <is>
          <t>IMPUTADO</t>
        </is>
      </c>
      <c r="G909" s="4" t="n">
        <v>700</v>
      </c>
    </row>
    <row r="910">
      <c r="A910" s="6" t="inlineStr">
        <is>
          <t>OBRA LUC2 (ADMINISTRACION)</t>
        </is>
      </c>
      <c r="B910" s="6" t="inlineStr">
        <is>
          <t>1.207,00</t>
        </is>
      </c>
      <c r="C910" s="6" t="inlineStr">
        <is>
          <t>02/04/2026</t>
        </is>
      </c>
      <c r="D910" s="6" t="inlineStr">
        <is>
          <t>SACA GRAVA + PORTE</t>
        </is>
      </c>
      <c r="E910" s="6" t="inlineStr">
        <is>
          <t>MATERIALES DE CONSTRUCCION LOS CAPITOS SL.</t>
        </is>
      </c>
      <c r="F910" s="6" t="inlineStr">
        <is>
          <t>IMPUTADO</t>
        </is>
      </c>
      <c r="G910" s="4" t="n">
        <v>600.9</v>
      </c>
    </row>
    <row r="911">
      <c r="A911" s="6" t="inlineStr">
        <is>
          <t>OBRA LUC2 (ADMINISTRACION)</t>
        </is>
      </c>
      <c r="B911" s="6" t="inlineStr">
        <is>
          <t>1.177,00</t>
        </is>
      </c>
      <c r="C911" s="6" t="inlineStr">
        <is>
          <t>24/03/2026</t>
        </is>
      </c>
      <c r="D911" s="6" t="inlineStr">
        <is>
          <t>PRESUPUESTO Nº 611490</t>
        </is>
      </c>
      <c r="E911" s="6" t="inlineStr">
        <is>
          <t>LEROY MERLIN ESPAÑA SL</t>
        </is>
      </c>
      <c r="F911" s="6" t="inlineStr">
        <is>
          <t>IMPUTADO</t>
        </is>
      </c>
      <c r="G911" s="4" t="n">
        <v>528.26</v>
      </c>
    </row>
    <row r="912">
      <c r="A912" s="6" t="inlineStr">
        <is>
          <t>OBRA LUC2 (ADMINISTRACION)</t>
        </is>
      </c>
      <c r="B912" s="6" t="inlineStr">
        <is>
          <t>1.149,00</t>
        </is>
      </c>
      <c r="C912" s="6" t="inlineStr">
        <is>
          <t>16/03/2026</t>
        </is>
      </c>
      <c r="D912" s="6" t="inlineStr">
        <is>
          <t>Tasas declaracion responsable</t>
        </is>
      </c>
      <c r="E912" s="6" t="inlineStr"/>
      <c r="F912" s="6" t="inlineStr">
        <is>
          <t>IMPUTADO</t>
        </is>
      </c>
      <c r="G912" s="4" t="n">
        <v>429</v>
      </c>
    </row>
    <row r="913">
      <c r="A913" s="6" t="inlineStr">
        <is>
          <t>OBRA LUC2 (ADMINISTRACION)</t>
        </is>
      </c>
      <c r="B913" s="6" t="inlineStr">
        <is>
          <t>1.097,00</t>
        </is>
      </c>
      <c r="C913" s="6" t="inlineStr">
        <is>
          <t>11/03/2026</t>
        </is>
      </c>
      <c r="D913" s="6" t="inlineStr">
        <is>
          <t>PRESUPUESTO Nº 610328</t>
        </is>
      </c>
      <c r="E913" s="6" t="inlineStr">
        <is>
          <t>LEROY MERLIN ESPAÑA SL</t>
        </is>
      </c>
      <c r="F913" s="6" t="inlineStr">
        <is>
          <t>IMPUTADO</t>
        </is>
      </c>
      <c r="G913" s="4" t="n">
        <v>268.76</v>
      </c>
    </row>
    <row r="914">
      <c r="A914" s="6" t="inlineStr">
        <is>
          <t>OBRA LUC2 (ADMINISTRACION)</t>
        </is>
      </c>
      <c r="B914" s="6" t="inlineStr">
        <is>
          <t>788,00</t>
        </is>
      </c>
      <c r="C914" s="6" t="inlineStr">
        <is>
          <t>20/02/2026</t>
        </is>
      </c>
      <c r="D914" s="6" t="inlineStr">
        <is>
          <t>VERTEDERO TIERRAS</t>
        </is>
      </c>
      <c r="E914" s="6" t="inlineStr">
        <is>
          <t>ARIDOS Y PREFABRICADOS BARINAS SL</t>
        </is>
      </c>
      <c r="F914" s="6" t="inlineStr">
        <is>
          <t>IMPUTADO</t>
        </is>
      </c>
      <c r="G914" s="4" t="n">
        <v>199.57</v>
      </c>
    </row>
    <row r="915">
      <c r="A915" s="6" t="inlineStr">
        <is>
          <t>OBRA LUC2 (ADMINISTRACION)</t>
        </is>
      </c>
      <c r="B915" s="6" t="inlineStr">
        <is>
          <t>1.480,00</t>
        </is>
      </c>
      <c r="C915" s="6" t="inlineStr">
        <is>
          <t>27/04/2026</t>
        </is>
      </c>
      <c r="D915" s="6" t="inlineStr">
        <is>
          <t>SACA ARENA</t>
        </is>
      </c>
      <c r="E915" s="6" t="inlineStr">
        <is>
          <t>MATERIALES DE CONSTRUCCION LOS CAPITOS SL.</t>
        </is>
      </c>
      <c r="F915" s="6" t="inlineStr">
        <is>
          <t>IMPUTADO</t>
        </is>
      </c>
      <c r="G915" s="4" t="n">
        <v>192.4</v>
      </c>
    </row>
    <row r="916">
      <c r="A916" s="6" t="inlineStr">
        <is>
          <t>OBRA LUC2 (ADMINISTRACION)</t>
        </is>
      </c>
      <c r="B916" s="6" t="inlineStr">
        <is>
          <t>1.276,00</t>
        </is>
      </c>
      <c r="C916" s="6" t="inlineStr">
        <is>
          <t>16/04/2026</t>
        </is>
      </c>
      <c r="D916" s="6" t="inlineStr">
        <is>
          <t>PRESUPUESTO 616437</t>
        </is>
      </c>
      <c r="E916" s="6" t="inlineStr">
        <is>
          <t>LEROY MERLIN ESPAÑA SL</t>
        </is>
      </c>
      <c r="F916" s="6" t="inlineStr">
        <is>
          <t>IMPUTADO</t>
        </is>
      </c>
      <c r="G916" s="4" t="n">
        <v>183.24</v>
      </c>
    </row>
    <row r="917">
      <c r="A917" s="6" t="inlineStr">
        <is>
          <t>OBRA LUC2 (ADMINISTRACION)</t>
        </is>
      </c>
      <c r="B917" s="6" t="inlineStr">
        <is>
          <t>789,00</t>
        </is>
      </c>
      <c r="C917" s="6" t="inlineStr">
        <is>
          <t>20/02/2026</t>
        </is>
      </c>
      <c r="D917" s="6" t="inlineStr">
        <is>
          <t>DESBROCE SOLAR</t>
        </is>
      </c>
      <c r="E917" s="6" t="inlineStr">
        <is>
          <t>MARCOS GALIANO POVEDA</t>
        </is>
      </c>
      <c r="F917" s="6" t="inlineStr">
        <is>
          <t>IMPUTADO</t>
        </is>
      </c>
      <c r="G917" s="4" t="n">
        <v>180</v>
      </c>
    </row>
    <row r="918">
      <c r="A918" s="6" t="inlineStr">
        <is>
          <t>OBRA LUC2 (ADMINISTRACION)</t>
        </is>
      </c>
      <c r="B918" s="6" t="inlineStr">
        <is>
          <t>595,00</t>
        </is>
      </c>
      <c r="C918" s="6" t="inlineStr">
        <is>
          <t>12/02/2026</t>
        </is>
      </c>
      <c r="D918" s="6" t="inlineStr">
        <is>
          <t>VALLA MOVIL TIPO S</t>
        </is>
      </c>
      <c r="E918" s="6" t="inlineStr">
        <is>
          <t>MATERIALES DE CONSTRUCCION LOS CAPITOS SL.</t>
        </is>
      </c>
      <c r="F918" s="6" t="inlineStr">
        <is>
          <t>IMPUTADO</t>
        </is>
      </c>
      <c r="G918" s="4" t="n">
        <v>132.98</v>
      </c>
    </row>
    <row r="919">
      <c r="A919" s="6" t="inlineStr">
        <is>
          <t>OBRA LUC2 (ADMINISTRACION)</t>
        </is>
      </c>
      <c r="B919" s="6" t="inlineStr">
        <is>
          <t>1.103,00</t>
        </is>
      </c>
      <c r="C919" s="6" t="inlineStr">
        <is>
          <t>11/03/2026</t>
        </is>
      </c>
      <c r="D919" s="6" t="inlineStr">
        <is>
          <t>DUMPER PINCHAZO</t>
        </is>
      </c>
      <c r="E919" s="6" t="inlineStr">
        <is>
          <t>CHOOSEMAK SOCIEDAD DE RESPONSABILIDAD LIMITADA</t>
        </is>
      </c>
      <c r="F919" s="6" t="inlineStr">
        <is>
          <t>IMPUTADO</t>
        </is>
      </c>
      <c r="G919" s="4" t="n">
        <v>82</v>
      </c>
    </row>
    <row r="920">
      <c r="A920" s="6" t="inlineStr">
        <is>
          <t>OBRA LUC2 (ADMINISTRACION)</t>
        </is>
      </c>
      <c r="B920" s="6" t="inlineStr">
        <is>
          <t>877,00</t>
        </is>
      </c>
      <c r="C920" s="6" t="inlineStr">
        <is>
          <t>02/03/2026</t>
        </is>
      </c>
      <c r="D920" s="6" t="inlineStr">
        <is>
          <t>ROLLO PLASTICO</t>
        </is>
      </c>
      <c r="E920" s="6" t="inlineStr">
        <is>
          <t>JUAN JOSÉ MUÑOZ ROBLES</t>
        </is>
      </c>
      <c r="F920" s="6" t="inlineStr">
        <is>
          <t>IMPUTADO</t>
        </is>
      </c>
      <c r="G920" s="4" t="n">
        <v>72</v>
      </c>
    </row>
    <row r="921">
      <c r="A921" s="6" t="inlineStr">
        <is>
          <t>OBRA LUC2 (ADMINISTRACION)</t>
        </is>
      </c>
      <c r="B921" s="6" t="inlineStr">
        <is>
          <t>876,00</t>
        </is>
      </c>
      <c r="C921" s="6" t="inlineStr">
        <is>
          <t>02/03/2026</t>
        </is>
      </c>
      <c r="D921" s="6" t="inlineStr">
        <is>
          <t>ROLLO PLÁSTICO</t>
        </is>
      </c>
      <c r="E921" s="6" t="inlineStr">
        <is>
          <t>JUAN JOSÉ MUÑOZ ROBLES</t>
        </is>
      </c>
      <c r="F921" s="6" t="inlineStr">
        <is>
          <t>IMPUTADO</t>
        </is>
      </c>
      <c r="G921" s="4" t="n">
        <v>72</v>
      </c>
    </row>
    <row r="922">
      <c r="A922" s="6" t="inlineStr">
        <is>
          <t>OBRA LUC2 (ADMINISTRACION)</t>
        </is>
      </c>
      <c r="B922" s="6" t="inlineStr">
        <is>
          <t>1.479,00</t>
        </is>
      </c>
      <c r="C922" s="6" t="inlineStr">
        <is>
          <t>27/04/2026</t>
        </is>
      </c>
      <c r="D922" s="6" t="inlineStr">
        <is>
          <t>GRUA</t>
        </is>
      </c>
      <c r="E922" s="6" t="inlineStr">
        <is>
          <t>JOSE LUIS PEREZ JAREÑO</t>
        </is>
      </c>
      <c r="F922" s="6" t="inlineStr">
        <is>
          <t>IMPUTADO</t>
        </is>
      </c>
      <c r="G922" s="4" t="n">
        <v>45</v>
      </c>
    </row>
    <row r="923">
      <c r="A923" s="6" t="inlineStr">
        <is>
          <t>OBRA LUC2 (ADMINISTRACION)</t>
        </is>
      </c>
      <c r="B923" s="6" t="inlineStr">
        <is>
          <t>1.528,00</t>
        </is>
      </c>
      <c r="C923" s="6" t="inlineStr">
        <is>
          <t>05/05/2026</t>
        </is>
      </c>
      <c r="D923" s="6" t="inlineStr">
        <is>
          <t>PINTURA/BROCHA/CEPILLO</t>
        </is>
      </c>
      <c r="E923" s="6" t="inlineStr">
        <is>
          <t>ESTABLECIMIENTOS DEMETRIO SL</t>
        </is>
      </c>
      <c r="F923" s="6" t="inlineStr">
        <is>
          <t>IMPUTADO</t>
        </is>
      </c>
      <c r="G923" s="4" t="n">
        <v>42.56</v>
      </c>
    </row>
    <row r="924">
      <c r="A924" s="6" t="inlineStr">
        <is>
          <t>OBRA LUC2 (ADMINISTRACION)</t>
        </is>
      </c>
      <c r="B924" s="6" t="inlineStr">
        <is>
          <t>594,00</t>
        </is>
      </c>
      <c r="C924" s="6" t="inlineStr">
        <is>
          <t>12/02/2026</t>
        </is>
      </c>
      <c r="D924" s="6" t="inlineStr">
        <is>
          <t>CADENA GALVANIZADA / CANDADO / HEMBRILLA / TACO</t>
        </is>
      </c>
      <c r="E924" s="6" t="inlineStr">
        <is>
          <t>ESTABLECIMIENTOS DEMETRIO SL</t>
        </is>
      </c>
      <c r="F924" s="6" t="inlineStr">
        <is>
          <t>IMPUTADO</t>
        </is>
      </c>
      <c r="G924" s="4" t="n">
        <v>29.87</v>
      </c>
    </row>
    <row r="925">
      <c r="A925" s="6" t="inlineStr">
        <is>
          <t>OBRA LUC2 (ADMINISTRACION)</t>
        </is>
      </c>
      <c r="B925" s="6" t="inlineStr">
        <is>
          <t>589,00</t>
        </is>
      </c>
      <c r="C925" s="6" t="inlineStr">
        <is>
          <t>12/02/2026</t>
        </is>
      </c>
      <c r="D925" s="6" t="inlineStr">
        <is>
          <t>MATERIAL</t>
        </is>
      </c>
      <c r="E925" s="6" t="inlineStr">
        <is>
          <t>ESTABLECIMIENTOS DEMETRIO SL</t>
        </is>
      </c>
      <c r="F925" s="6" t="inlineStr">
        <is>
          <t>IMPUTADO</t>
        </is>
      </c>
      <c r="G925" s="4" t="n">
        <v>23.89</v>
      </c>
    </row>
    <row r="926">
      <c r="A926" s="6" t="inlineStr">
        <is>
          <t>OBRA LUC2 (ADMINISTRACION)</t>
        </is>
      </c>
      <c r="B926" s="6" t="inlineStr">
        <is>
          <t>1.108,00</t>
        </is>
      </c>
      <c r="C926" s="6" t="inlineStr">
        <is>
          <t>11/03/2026</t>
        </is>
      </c>
      <c r="D926" s="6" t="inlineStr">
        <is>
          <t>CANDADO</t>
        </is>
      </c>
      <c r="E926" s="6" t="inlineStr">
        <is>
          <t>ESTABLECIMIENTOS DEMETRIO SL</t>
        </is>
      </c>
      <c r="F926" s="6" t="inlineStr">
        <is>
          <t>IMPUTADO</t>
        </is>
      </c>
      <c r="G926" s="4" t="n">
        <v>12.23</v>
      </c>
    </row>
    <row r="927">
      <c r="A927" s="6" t="inlineStr">
        <is>
          <t>OBRA MADRE MARIA PEREAMAR</t>
        </is>
      </c>
      <c r="B927" s="6" t="inlineStr">
        <is>
          <t>1.891,00</t>
        </is>
      </c>
      <c r="C927" s="6" t="inlineStr">
        <is>
          <t>28/08/2026</t>
        </is>
      </c>
      <c r="D927" s="6" t="inlineStr">
        <is>
          <t>MATERIAL</t>
        </is>
      </c>
      <c r="E927" s="6" t="inlineStr">
        <is>
          <t>CONSYDECOR SL</t>
        </is>
      </c>
      <c r="F927" s="6" t="inlineStr">
        <is>
          <t>IMPUTADO</t>
        </is>
      </c>
      <c r="G927" s="4" t="n">
        <v>1350.83</v>
      </c>
    </row>
    <row r="928">
      <c r="A928" s="6" t="inlineStr">
        <is>
          <t>OBRA MADRE MARIA PEREAMAR</t>
        </is>
      </c>
      <c r="B928" s="6" t="inlineStr">
        <is>
          <t>1.828,00</t>
        </is>
      </c>
      <c r="C928" s="6" t="inlineStr">
        <is>
          <t>21/07/2026</t>
        </is>
      </c>
      <c r="D928" s="6" t="inlineStr">
        <is>
          <t>ALQUILER MAQUINARIA (+20%)</t>
        </is>
      </c>
      <c r="E928" s="6" t="inlineStr">
        <is>
          <t>GOMARIZ SISTEMAS DE ELEVACION SL</t>
        </is>
      </c>
      <c r="F928" s="6" t="inlineStr">
        <is>
          <t>IMPUTADO</t>
        </is>
      </c>
      <c r="G928" s="4" t="n">
        <v>498.65</v>
      </c>
    </row>
    <row r="929">
      <c r="A929" s="6" t="inlineStr">
        <is>
          <t>OBRA MADRE MARIA PEREAMAR</t>
        </is>
      </c>
      <c r="B929" s="6" t="inlineStr">
        <is>
          <t>1.839,00</t>
        </is>
      </c>
      <c r="C929" s="6" t="inlineStr">
        <is>
          <t>21/07/2026</t>
        </is>
      </c>
      <c r="D929" s="6" t="inlineStr">
        <is>
          <t>MATERIAL OBRA</t>
        </is>
      </c>
      <c r="E929" s="6" t="inlineStr">
        <is>
          <t>MATERIALES DE CONSTRUCCION LOS CAPITOS SL.</t>
        </is>
      </c>
      <c r="F929" s="6" t="inlineStr">
        <is>
          <t>IMPUTADO</t>
        </is>
      </c>
      <c r="G929" s="4" t="n">
        <v>104.13</v>
      </c>
    </row>
    <row r="930">
      <c r="A930" s="6" t="inlineStr">
        <is>
          <t>OBRA MURO CAMPO ARANTXA</t>
        </is>
      </c>
      <c r="B930" s="6" t="inlineStr">
        <is>
          <t>875,00</t>
        </is>
      </c>
      <c r="C930" s="6" t="inlineStr">
        <is>
          <t>02/03/2026</t>
        </is>
      </c>
      <c r="D930" s="6" t="inlineStr">
        <is>
          <t>LEROY MERIN (PRESUPUESTO 605142)</t>
        </is>
      </c>
      <c r="E930" s="6" t="inlineStr">
        <is>
          <t>LEROY MERLIN ESPAÑA SL</t>
        </is>
      </c>
      <c r="F930" s="6" t="inlineStr">
        <is>
          <t>IMPUTADO</t>
        </is>
      </c>
      <c r="G930" s="4" t="n">
        <v>3338.27</v>
      </c>
    </row>
    <row r="931">
      <c r="A931" s="6" t="inlineStr">
        <is>
          <t>OBRA MURO CAMPO ARANTXA</t>
        </is>
      </c>
      <c r="B931" s="6" t="inlineStr">
        <is>
          <t>914,00</t>
        </is>
      </c>
      <c r="C931" s="6" t="inlineStr">
        <is>
          <t>05/03/2026</t>
        </is>
      </c>
      <c r="D931" s="6" t="inlineStr">
        <is>
          <t>PRESUPUESTO Nº 609376</t>
        </is>
      </c>
      <c r="E931" s="6" t="inlineStr">
        <is>
          <t>LEROY MERLIN ESPAÑA SL</t>
        </is>
      </c>
      <c r="F931" s="6" t="inlineStr">
        <is>
          <t>IMPUTADO</t>
        </is>
      </c>
      <c r="G931" s="4" t="n">
        <v>477.49</v>
      </c>
    </row>
    <row r="932">
      <c r="A932" s="6" t="inlineStr">
        <is>
          <t>OBRA MURO CAMPO ARANTXA</t>
        </is>
      </c>
      <c r="B932" s="6" t="inlineStr">
        <is>
          <t>918,00</t>
        </is>
      </c>
      <c r="C932" s="6" t="inlineStr">
        <is>
          <t>05/03/2026</t>
        </is>
      </c>
      <c r="D932" s="6" t="inlineStr">
        <is>
          <t>PRESUPUESTO Nº 607423-2</t>
        </is>
      </c>
      <c r="E932" s="6" t="inlineStr">
        <is>
          <t>LEROY MERLIN ESPAÑA SL</t>
        </is>
      </c>
      <c r="F932" s="6" t="inlineStr">
        <is>
          <t>IMPUTADO</t>
        </is>
      </c>
      <c r="G932" s="4" t="n">
        <v>414.57</v>
      </c>
    </row>
    <row r="933">
      <c r="A933" s="6" t="inlineStr">
        <is>
          <t>OBRA MURO VECINO CAMPO</t>
        </is>
      </c>
      <c r="B933" s="6" t="inlineStr">
        <is>
          <t>911,00</t>
        </is>
      </c>
      <c r="C933" s="6" t="inlineStr">
        <is>
          <t>04/03/2026</t>
        </is>
      </c>
      <c r="D933" s="6" t="inlineStr">
        <is>
          <t>HIERRO MURO VECINO</t>
        </is>
      </c>
      <c r="E933" s="6" t="inlineStr">
        <is>
          <t>FERRALLAS MONFORTE DEL CID SL.</t>
        </is>
      </c>
      <c r="F933" s="6" t="inlineStr">
        <is>
          <t>IMPUTADO</t>
        </is>
      </c>
      <c r="G933" s="4" t="n">
        <v>2651.4</v>
      </c>
    </row>
    <row r="934">
      <c r="A934" s="6" t="inlineStr">
        <is>
          <t>OBRA MURO VECINO CAMPO</t>
        </is>
      </c>
      <c r="B934" s="6" t="inlineStr">
        <is>
          <t>901,00</t>
        </is>
      </c>
      <c r="C934" s="6" t="inlineStr">
        <is>
          <t>04/03/2026</t>
        </is>
      </c>
      <c r="D934" s="6" t="inlineStr">
        <is>
          <t>PRESUPUESTO Nº 606659-2</t>
        </is>
      </c>
      <c r="E934" s="6" t="inlineStr">
        <is>
          <t>LEROY MERLIN ESPAÑA SL</t>
        </is>
      </c>
      <c r="F934" s="6" t="inlineStr">
        <is>
          <t>IMPUTADO</t>
        </is>
      </c>
      <c r="G934" s="4" t="n">
        <v>2504.93</v>
      </c>
    </row>
    <row r="935">
      <c r="A935" s="6" t="inlineStr">
        <is>
          <t>OBRA MURO VECINO CAMPO</t>
        </is>
      </c>
      <c r="B935" s="6" t="inlineStr">
        <is>
          <t>1.167,00</t>
        </is>
      </c>
      <c r="C935" s="6" t="inlineStr">
        <is>
          <t>20/03/2026</t>
        </is>
      </c>
      <c r="D935" s="6" t="inlineStr">
        <is>
          <t>HORMIGON RELLENAR BLOQUES MURO</t>
        </is>
      </c>
      <c r="E935" s="6" t="inlineStr">
        <is>
          <t>ARIDOS Y HORMIGONES CUTILLAS S.L.</t>
        </is>
      </c>
      <c r="F935" s="6" t="inlineStr">
        <is>
          <t>IMPUTADO</t>
        </is>
      </c>
      <c r="G935" s="4" t="n">
        <v>2502</v>
      </c>
    </row>
    <row r="936">
      <c r="A936" s="6" t="inlineStr">
        <is>
          <t>OBRA MURO VECINO CAMPO</t>
        </is>
      </c>
      <c r="B936" s="6" t="inlineStr">
        <is>
          <t>1.175,00</t>
        </is>
      </c>
      <c r="C936" s="6" t="inlineStr"/>
      <c r="D936" s="6" t="inlineStr">
        <is>
          <t>BOMBA CIMENTACION</t>
        </is>
      </c>
      <c r="E936" s="6" t="inlineStr">
        <is>
          <t>LORENZO ROMERO MORALEDA</t>
        </is>
      </c>
      <c r="F936" s="6" t="inlineStr">
        <is>
          <t>SIN IMPUTAR</t>
        </is>
      </c>
      <c r="G936" s="4" t="n">
        <v>2420</v>
      </c>
    </row>
    <row r="937">
      <c r="A937" s="6" t="inlineStr">
        <is>
          <t>OBRA MURO VECINO CAMPO</t>
        </is>
      </c>
      <c r="B937" s="6" t="inlineStr">
        <is>
          <t>1.130,00</t>
        </is>
      </c>
      <c r="C937" s="6" t="inlineStr">
        <is>
          <t>16/03/2026</t>
        </is>
      </c>
      <c r="D937" s="6" t="inlineStr">
        <is>
          <t>HORMIGON CIMENTACION</t>
        </is>
      </c>
      <c r="E937" s="6" t="inlineStr">
        <is>
          <t>ARIDOS Y HORMIGONES CUTILLAS S.L.</t>
        </is>
      </c>
      <c r="F937" s="6" t="inlineStr">
        <is>
          <t>IMPUTADO</t>
        </is>
      </c>
      <c r="G937" s="4" t="n">
        <v>2406</v>
      </c>
    </row>
    <row r="938">
      <c r="A938" s="6" t="inlineStr">
        <is>
          <t>OBRA MURO VECINO CAMPO</t>
        </is>
      </c>
      <c r="B938" s="6" t="inlineStr">
        <is>
          <t>1.455,00</t>
        </is>
      </c>
      <c r="C938" s="6" t="inlineStr"/>
      <c r="D938" s="6" t="inlineStr">
        <is>
          <t>MATERIAL OBRA</t>
        </is>
      </c>
      <c r="E938" s="6" t="inlineStr">
        <is>
          <t>TABISAM SL</t>
        </is>
      </c>
      <c r="F938" s="6" t="inlineStr">
        <is>
          <t>SIN IMPUTAR</t>
        </is>
      </c>
      <c r="G938" s="4" t="n">
        <v>970.6</v>
      </c>
    </row>
    <row r="939">
      <c r="A939" s="6" t="inlineStr">
        <is>
          <t>OBRA MURO VECINO CAMPO</t>
        </is>
      </c>
      <c r="B939" s="6" t="inlineStr">
        <is>
          <t>916,00</t>
        </is>
      </c>
      <c r="C939" s="6" t="inlineStr">
        <is>
          <t>05/03/2026</t>
        </is>
      </c>
      <c r="D939" s="6" t="inlineStr">
        <is>
          <t>CIMENTACIÓN MURO VECINO</t>
        </is>
      </c>
      <c r="E939" s="6" t="inlineStr">
        <is>
          <t>EXPRESS HORMIGONES SL.</t>
        </is>
      </c>
      <c r="F939" s="6" t="inlineStr">
        <is>
          <t>IMPUTADO</t>
        </is>
      </c>
      <c r="G939" s="4" t="n">
        <v>689.5</v>
      </c>
    </row>
    <row r="940">
      <c r="A940" s="6" t="inlineStr">
        <is>
          <t>OBRA MURO VECINO CAMPO</t>
        </is>
      </c>
      <c r="B940" s="6" t="inlineStr">
        <is>
          <t>1.132,00</t>
        </is>
      </c>
      <c r="C940" s="6" t="inlineStr">
        <is>
          <t>16/03/2026</t>
        </is>
      </c>
      <c r="D940" s="6" t="inlineStr">
        <is>
          <t>HORMIGÓN MURO VECINO</t>
        </is>
      </c>
      <c r="E940" s="6" t="inlineStr">
        <is>
          <t>SEBASTIAN NAVARRO SL</t>
        </is>
      </c>
      <c r="F940" s="6" t="inlineStr">
        <is>
          <t>IMPUTADO</t>
        </is>
      </c>
      <c r="G940" s="4" t="n">
        <v>461.5</v>
      </c>
    </row>
    <row r="941">
      <c r="A941" s="6" t="inlineStr">
        <is>
          <t>OBRA MURO VECINO CAMPO</t>
        </is>
      </c>
      <c r="B941" s="6" t="inlineStr">
        <is>
          <t>900,00</t>
        </is>
      </c>
      <c r="C941" s="6" t="inlineStr">
        <is>
          <t>04/03/2026</t>
        </is>
      </c>
      <c r="D941" s="6" t="inlineStr">
        <is>
          <t>PRESUPUESTO Nº 606659-1</t>
        </is>
      </c>
      <c r="E941" s="6" t="inlineStr">
        <is>
          <t>LEROY MERLIN ESPAÑA SL</t>
        </is>
      </c>
      <c r="F941" s="6" t="inlineStr">
        <is>
          <t>IMPUTADO</t>
        </is>
      </c>
      <c r="G941" s="4" t="n">
        <v>457.02</v>
      </c>
    </row>
    <row r="942">
      <c r="A942" s="6" t="inlineStr">
        <is>
          <t>OBRA MURO VECINO CAMPO</t>
        </is>
      </c>
      <c r="B942" s="6" t="inlineStr">
        <is>
          <t>913,00</t>
        </is>
      </c>
      <c r="C942" s="6" t="inlineStr">
        <is>
          <t>04/03/2026</t>
        </is>
      </c>
      <c r="D942" s="6" t="inlineStr">
        <is>
          <t>PRESUPUESTO Nº 609212</t>
        </is>
      </c>
      <c r="E942" s="6" t="inlineStr">
        <is>
          <t>LEROY MERLIN ESPAÑA SL</t>
        </is>
      </c>
      <c r="F942" s="6" t="inlineStr">
        <is>
          <t>IMPUTADO</t>
        </is>
      </c>
      <c r="G942" s="4" t="n">
        <v>432.73</v>
      </c>
    </row>
    <row r="943">
      <c r="A943" s="6" t="inlineStr">
        <is>
          <t>OBRA MURO VECINO CAMPO</t>
        </is>
      </c>
      <c r="B943" s="6" t="inlineStr">
        <is>
          <t>904,00</t>
        </is>
      </c>
      <c r="C943" s="6" t="inlineStr">
        <is>
          <t>04/03/2026</t>
        </is>
      </c>
      <c r="D943" s="6" t="inlineStr">
        <is>
          <t>PRESUPUESTO Nº 608952</t>
        </is>
      </c>
      <c r="E943" s="6" t="inlineStr">
        <is>
          <t>LEROY MERLIN ESPAÑA SL</t>
        </is>
      </c>
      <c r="F943" s="6" t="inlineStr">
        <is>
          <t>IMPUTADO</t>
        </is>
      </c>
      <c r="G943" s="4" t="n">
        <v>413.83</v>
      </c>
    </row>
    <row r="944">
      <c r="A944" s="6" t="inlineStr">
        <is>
          <t>OBRA MURO VECINO CAMPO</t>
        </is>
      </c>
      <c r="B944" s="6" t="inlineStr">
        <is>
          <t>902,00</t>
        </is>
      </c>
      <c r="C944" s="6" t="inlineStr">
        <is>
          <t>04/03/2026</t>
        </is>
      </c>
      <c r="D944" s="6" t="inlineStr">
        <is>
          <t>PRESUPUESTO Nº 607423-1</t>
        </is>
      </c>
      <c r="E944" s="6" t="inlineStr">
        <is>
          <t>LEROY MERLIN ESPAÑA SL</t>
        </is>
      </c>
      <c r="F944" s="6" t="inlineStr">
        <is>
          <t>IMPUTADO</t>
        </is>
      </c>
      <c r="G944" s="4" t="n">
        <v>341.19</v>
      </c>
    </row>
    <row r="945">
      <c r="A945" s="6" t="inlineStr">
        <is>
          <t>OBRA MURO VECINO CAMPO</t>
        </is>
      </c>
      <c r="B945" s="6" t="inlineStr">
        <is>
          <t>1.458,00</t>
        </is>
      </c>
      <c r="C945" s="6" t="inlineStr"/>
      <c r="D945" s="6" t="inlineStr">
        <is>
          <t>PEDIDO 361562</t>
        </is>
      </c>
      <c r="E945" s="6" t="inlineStr">
        <is>
          <t>TABISAM SL</t>
        </is>
      </c>
      <c r="F945" s="6" t="inlineStr">
        <is>
          <t>SIN IMPUTAR</t>
        </is>
      </c>
      <c r="G945" s="4" t="n">
        <v>332.88</v>
      </c>
    </row>
    <row r="946">
      <c r="A946" s="6" t="inlineStr">
        <is>
          <t>OBRA MURO VECINO CAMPO</t>
        </is>
      </c>
      <c r="B946" s="6" t="inlineStr">
        <is>
          <t>1.456,00</t>
        </is>
      </c>
      <c r="C946" s="6" t="inlineStr"/>
      <c r="D946" s="6" t="inlineStr">
        <is>
          <t>TABISAM SL</t>
        </is>
      </c>
      <c r="E946" s="6" t="inlineStr">
        <is>
          <t>TABISAM SL</t>
        </is>
      </c>
      <c r="F946" s="6" t="inlineStr">
        <is>
          <t>SIN IMPUTAR</t>
        </is>
      </c>
      <c r="G946" s="4" t="n">
        <v>250</v>
      </c>
    </row>
    <row r="947">
      <c r="A947" s="6" t="inlineStr">
        <is>
          <t>OBRA MURO VECINO CAMPO</t>
        </is>
      </c>
      <c r="B947" s="6" t="inlineStr">
        <is>
          <t>1.172,00</t>
        </is>
      </c>
      <c r="C947" s="6" t="inlineStr">
        <is>
          <t>20/03/2026</t>
        </is>
      </c>
      <c r="D947" s="6" t="inlineStr">
        <is>
          <t>MATERIAL</t>
        </is>
      </c>
      <c r="E947" s="6" t="inlineStr">
        <is>
          <t>HIJOS DE JOSE BUSQUIER SL</t>
        </is>
      </c>
      <c r="F947" s="6" t="inlineStr">
        <is>
          <t>IMPUTADO</t>
        </is>
      </c>
      <c r="G947" s="4" t="n">
        <v>83.68000000000001</v>
      </c>
    </row>
    <row r="948">
      <c r="A948" s="6" t="inlineStr">
        <is>
          <t>OBRA MURO VECINO CAMPO</t>
        </is>
      </c>
      <c r="B948" s="6" t="inlineStr">
        <is>
          <t>1.457,00</t>
        </is>
      </c>
      <c r="C948" s="6" t="inlineStr"/>
      <c r="D948" s="6" t="inlineStr">
        <is>
          <t>TABISAM SL.</t>
        </is>
      </c>
      <c r="E948" s="6" t="inlineStr">
        <is>
          <t>TABISAM SL</t>
        </is>
      </c>
      <c r="F948" s="6" t="inlineStr">
        <is>
          <t>SIN IMPUTAR</t>
        </is>
      </c>
      <c r="G948" s="4" t="n">
        <v>50</v>
      </c>
    </row>
    <row r="949">
      <c r="A949" s="6" t="inlineStr">
        <is>
          <t>OBRA MURO VECINO CAMPO</t>
        </is>
      </c>
      <c r="B949" s="6" t="inlineStr">
        <is>
          <t>1.454,00</t>
        </is>
      </c>
      <c r="C949" s="6" t="inlineStr"/>
      <c r="D949" s="6" t="inlineStr">
        <is>
          <t>MATERIAL JOAQUÍN</t>
        </is>
      </c>
      <c r="E949" s="6" t="inlineStr">
        <is>
          <t>LA AVENIDA CERAMICAS SL.</t>
        </is>
      </c>
      <c r="F949" s="6" t="inlineStr">
        <is>
          <t>SIN IMPUTAR</t>
        </is>
      </c>
      <c r="G949" s="4" t="n">
        <v>47.14</v>
      </c>
    </row>
    <row r="950">
      <c r="A950" s="6" t="inlineStr">
        <is>
          <t>OBRA MURO VECINO CAMPO</t>
        </is>
      </c>
      <c r="B950" s="6" t="inlineStr">
        <is>
          <t>912,00</t>
        </is>
      </c>
      <c r="C950" s="6" t="inlineStr">
        <is>
          <t>04/03/2026</t>
        </is>
      </c>
      <c r="D950" s="6" t="inlineStr">
        <is>
          <t>ALAMBRE RECOCIDO</t>
        </is>
      </c>
      <c r="E950" s="6" t="inlineStr">
        <is>
          <t>HIJOS DE JOSE BUSQUIER SL</t>
        </is>
      </c>
      <c r="F950" s="6" t="inlineStr">
        <is>
          <t>IMPUTADO</t>
        </is>
      </c>
      <c r="G950" s="4" t="n">
        <v>12.94</v>
      </c>
    </row>
    <row r="951">
      <c r="A951" s="6" t="inlineStr">
        <is>
          <t>OBRA PADRE TRINI</t>
        </is>
      </c>
      <c r="B951" s="6" t="inlineStr">
        <is>
          <t>1.153,00</t>
        </is>
      </c>
      <c r="C951" s="6" t="inlineStr">
        <is>
          <t>17/03/2026</t>
        </is>
      </c>
      <c r="D951" s="6" t="inlineStr">
        <is>
          <t>PLATO ROCA</t>
        </is>
      </c>
      <c r="E951" s="6" t="inlineStr">
        <is>
          <t>LEROY MERLIN ESPAÑA SL</t>
        </is>
      </c>
      <c r="F951" s="6" t="inlineStr">
        <is>
          <t>IMPUTADO</t>
        </is>
      </c>
      <c r="G951" s="4" t="n">
        <v>263.39</v>
      </c>
    </row>
    <row r="952">
      <c r="A952" s="6" t="inlineStr">
        <is>
          <t>OBRA PADRE TRINI</t>
        </is>
      </c>
      <c r="B952" s="6" t="inlineStr">
        <is>
          <t>1.186,00</t>
        </is>
      </c>
      <c r="C952" s="6" t="inlineStr">
        <is>
          <t>31/03/2026</t>
        </is>
      </c>
      <c r="D952" s="6" t="inlineStr">
        <is>
          <t>MATERIALES</t>
        </is>
      </c>
      <c r="E952" s="6" t="inlineStr">
        <is>
          <t>LEROY MERLIN ESPAÑA SL</t>
        </is>
      </c>
      <c r="F952" s="6" t="inlineStr">
        <is>
          <t>IMPUTADO</t>
        </is>
      </c>
      <c r="G952" s="4" t="n">
        <v>15.83</v>
      </c>
    </row>
    <row r="953">
      <c r="A953" s="6" t="inlineStr">
        <is>
          <t>OBRA PADRE TRINI</t>
        </is>
      </c>
      <c r="B953" s="6" t="inlineStr">
        <is>
          <t>1.154,00</t>
        </is>
      </c>
      <c r="C953" s="6" t="inlineStr">
        <is>
          <t>17/03/2026</t>
        </is>
      </c>
      <c r="D953" s="6" t="inlineStr">
        <is>
          <t>YESO Y ARENA</t>
        </is>
      </c>
      <c r="E953" s="6" t="inlineStr">
        <is>
          <t>BRICOLAJE BRICOMAN SLU</t>
        </is>
      </c>
      <c r="F953" s="6" t="inlineStr">
        <is>
          <t>IMPUTADO</t>
        </is>
      </c>
      <c r="G953" s="4" t="n">
        <v>9.65</v>
      </c>
    </row>
    <row r="954">
      <c r="A954" s="6" t="inlineStr">
        <is>
          <t>OBRA PADRE TRINI</t>
        </is>
      </c>
      <c r="B954" s="6" t="inlineStr">
        <is>
          <t>1.185,00</t>
        </is>
      </c>
      <c r="C954" s="6" t="inlineStr">
        <is>
          <t>31/03/2026</t>
        </is>
      </c>
      <c r="D954" s="6" t="inlineStr">
        <is>
          <t>MORCEM COLOR</t>
        </is>
      </c>
      <c r="E954" s="6" t="inlineStr">
        <is>
          <t>MATERIALES DE CONSTRUCCION EL CARACOLES SL</t>
        </is>
      </c>
      <c r="F954" s="6" t="inlineStr">
        <is>
          <t>IMPUTADO</t>
        </is>
      </c>
      <c r="G954" s="4" t="n">
        <v>7.12</v>
      </c>
    </row>
    <row r="955">
      <c r="A955" s="6" t="inlineStr">
        <is>
          <t>OBRA PADRE TRINI</t>
        </is>
      </c>
      <c r="B955" s="6" t="inlineStr">
        <is>
          <t>1.152,00</t>
        </is>
      </c>
      <c r="C955" s="6" t="inlineStr">
        <is>
          <t>17/03/2026</t>
        </is>
      </c>
      <c r="D955" s="6" t="inlineStr">
        <is>
          <t>YESO BASTO</t>
        </is>
      </c>
      <c r="E955" s="6" t="inlineStr">
        <is>
          <t>LEROY MERLIN ESPAÑA SL</t>
        </is>
      </c>
      <c r="F955" s="6" t="inlineStr">
        <is>
          <t>IMPUTADO</t>
        </is>
      </c>
      <c r="G955" s="4" t="n">
        <v>2.33</v>
      </c>
    </row>
    <row r="956">
      <c r="A956" s="6" t="inlineStr">
        <is>
          <t>OBRA PLAZA CIRCULAR,  MURCIA</t>
        </is>
      </c>
      <c r="B956" s="6" t="inlineStr">
        <is>
          <t>1.761,00</t>
        </is>
      </c>
      <c r="C956" s="6" t="inlineStr">
        <is>
          <t>10/07/2026</t>
        </is>
      </c>
      <c r="D956" s="6" t="inlineStr">
        <is>
          <t>CARPINTERIA MADERA</t>
        </is>
      </c>
      <c r="E956" s="6" t="inlineStr">
        <is>
          <t>CARPINTERIA EBANISTERIA BAMBU SL.</t>
        </is>
      </c>
      <c r="F956" s="6" t="inlineStr">
        <is>
          <t>IMPUTADO</t>
        </is>
      </c>
      <c r="G956" s="4" t="n">
        <v>31917.5</v>
      </c>
    </row>
    <row r="957">
      <c r="A957" s="6" t="inlineStr">
        <is>
          <t>OBRA PLAZA CIRCULAR,  MURCIA</t>
        </is>
      </c>
      <c r="B957" s="6" t="inlineStr">
        <is>
          <t>1.279,00</t>
        </is>
      </c>
      <c r="C957" s="6" t="inlineStr">
        <is>
          <t>23/04/2026</t>
        </is>
      </c>
      <c r="D957" s="6" t="inlineStr">
        <is>
          <t>50% VENTANAS</t>
        </is>
      </c>
      <c r="E957" s="6" t="inlineStr">
        <is>
          <t>ALEJANDRO CUTILLAS CAÑABATE</t>
        </is>
      </c>
      <c r="F957" s="6" t="inlineStr">
        <is>
          <t>IMPUTADO</t>
        </is>
      </c>
      <c r="G957" s="4" t="n">
        <v>26914.33</v>
      </c>
    </row>
    <row r="958">
      <c r="A958" s="6" t="inlineStr">
        <is>
          <t>OBRA PLAZA CIRCULAR,  MURCIA</t>
        </is>
      </c>
      <c r="B958" s="6" t="inlineStr">
        <is>
          <t>1.833,00</t>
        </is>
      </c>
      <c r="C958" s="6" t="inlineStr">
        <is>
          <t>24/07/2026</t>
        </is>
      </c>
      <c r="D958" s="6" t="inlineStr">
        <is>
          <t>VENTANAS</t>
        </is>
      </c>
      <c r="E958" s="6" t="inlineStr">
        <is>
          <t>ALEJANDRO CUTILLAS CAÑABATE</t>
        </is>
      </c>
      <c r="F958" s="6" t="inlineStr">
        <is>
          <t>IMPUTADO</t>
        </is>
      </c>
      <c r="G958" s="4" t="n">
        <v>26029.38</v>
      </c>
    </row>
    <row r="959">
      <c r="A959" s="6" t="inlineStr">
        <is>
          <t>OBRA PLAZA CIRCULAR,  MURCIA</t>
        </is>
      </c>
      <c r="B959" s="6" t="inlineStr">
        <is>
          <t>1.710,00</t>
        </is>
      </c>
      <c r="C959" s="6" t="inlineStr">
        <is>
          <t>16/06/2026</t>
        </is>
      </c>
      <c r="D959" s="6" t="inlineStr">
        <is>
          <t>MÁQUINAS DE AIRE</t>
        </is>
      </c>
      <c r="E959" s="6" t="inlineStr">
        <is>
          <t>GOCLIMA FRIO Y CALOR SL</t>
        </is>
      </c>
      <c r="F959" s="6" t="inlineStr">
        <is>
          <t>IMPUTADO</t>
        </is>
      </c>
      <c r="G959" s="4" t="n">
        <v>22641.6</v>
      </c>
    </row>
    <row r="960">
      <c r="A960" s="6" t="inlineStr">
        <is>
          <t>OBRA PLAZA CIRCULAR,  MURCIA</t>
        </is>
      </c>
      <c r="B960" s="6" t="inlineStr">
        <is>
          <t>1.709,00</t>
        </is>
      </c>
      <c r="C960" s="6" t="inlineStr">
        <is>
          <t>16/06/2026</t>
        </is>
      </c>
      <c r="D960" s="6" t="inlineStr">
        <is>
          <t>AIRE ACONDICIONADO + AIRE ZONE</t>
        </is>
      </c>
      <c r="E960" s="6" t="inlineStr">
        <is>
          <t>GOCLIMA FRIO Y CALOR SL</t>
        </is>
      </c>
      <c r="F960" s="6" t="inlineStr">
        <is>
          <t>IMPUTADO</t>
        </is>
      </c>
      <c r="G960" s="4" t="n">
        <v>13256</v>
      </c>
    </row>
    <row r="961">
      <c r="A961" s="6" t="inlineStr">
        <is>
          <t>OBRA PLAZA CIRCULAR,  MURCIA</t>
        </is>
      </c>
      <c r="B961" s="6" t="inlineStr">
        <is>
          <t>1.176,00</t>
        </is>
      </c>
      <c r="C961" s="6" t="inlineStr">
        <is>
          <t>10/06/2026</t>
        </is>
      </c>
      <c r="D961" s="6" t="inlineStr">
        <is>
          <t>PRESUPUESTO Nº 621310 (fecha cambio 13/05/2026)</t>
        </is>
      </c>
      <c r="E961" s="6" t="inlineStr">
        <is>
          <t>LEROY MERLIN ESPAÑA SL</t>
        </is>
      </c>
      <c r="F961" s="6" t="inlineStr">
        <is>
          <t>IMPUTADO</t>
        </is>
      </c>
      <c r="G961" s="4" t="n">
        <v>8220.07</v>
      </c>
    </row>
    <row r="962">
      <c r="A962" s="6" t="inlineStr">
        <is>
          <t>OBRA PLAZA CIRCULAR,  MURCIA</t>
        </is>
      </c>
      <c r="B962" s="6" t="inlineStr">
        <is>
          <t>1.499,00</t>
        </is>
      </c>
      <c r="C962" s="6" t="inlineStr">
        <is>
          <t>10/06/2026</t>
        </is>
      </c>
      <c r="D962" s="6" t="inlineStr">
        <is>
          <t>PORCELANICO #pavimento y alicatado</t>
        </is>
      </c>
      <c r="E962" s="6" t="inlineStr">
        <is>
          <t>CONSYDECOR SL</t>
        </is>
      </c>
      <c r="F962" s="6" t="inlineStr">
        <is>
          <t>IMPUTADO</t>
        </is>
      </c>
      <c r="G962" s="4" t="n">
        <v>8000</v>
      </c>
    </row>
    <row r="963">
      <c r="A963" s="6" t="inlineStr">
        <is>
          <t>OBRA PLAZA CIRCULAR,  MURCIA</t>
        </is>
      </c>
      <c r="B963" s="6" t="inlineStr">
        <is>
          <t>1.857,00</t>
        </is>
      </c>
      <c r="C963" s="6" t="inlineStr">
        <is>
          <t>28/07/2026</t>
        </is>
      </c>
      <c r="D963" s="6" t="inlineStr">
        <is>
          <t>SUELO RADIANTE</t>
        </is>
      </c>
      <c r="E963" s="6" t="inlineStr">
        <is>
          <t>HIDROELIKE SLL</t>
        </is>
      </c>
      <c r="F963" s="6" t="inlineStr">
        <is>
          <t>IMPUTADO</t>
        </is>
      </c>
      <c r="G963" s="4" t="n">
        <v>6527.56</v>
      </c>
    </row>
    <row r="964">
      <c r="A964" s="6" t="inlineStr">
        <is>
          <t>OBRA PLAZA CIRCULAR,  MURCIA</t>
        </is>
      </c>
      <c r="B964" s="6" t="inlineStr">
        <is>
          <t>1.856,00</t>
        </is>
      </c>
      <c r="C964" s="6" t="inlineStr">
        <is>
          <t>28/07/2026</t>
        </is>
      </c>
      <c r="D964" s="6" t="inlineStr">
        <is>
          <t>SUELO RADIANTE</t>
        </is>
      </c>
      <c r="E964" s="6" t="inlineStr">
        <is>
          <t>HIDROELIKE SLL</t>
        </is>
      </c>
      <c r="F964" s="6" t="inlineStr">
        <is>
          <t>IMPUTADO</t>
        </is>
      </c>
      <c r="G964" s="4" t="n">
        <v>6527.56</v>
      </c>
    </row>
    <row r="965">
      <c r="A965" s="6" t="inlineStr">
        <is>
          <t>OBRA PLAZA CIRCULAR,  MURCIA</t>
        </is>
      </c>
      <c r="B965" s="6" t="inlineStr">
        <is>
          <t>1.869,00</t>
        </is>
      </c>
      <c r="C965" s="6" t="inlineStr">
        <is>
          <t>26/08/2026</t>
        </is>
      </c>
      <c r="D965" s="6" t="inlineStr">
        <is>
          <t>INSTALACION ELECTRICA</t>
        </is>
      </c>
      <c r="E965" s="6" t="inlineStr"/>
      <c r="F965" s="6" t="inlineStr">
        <is>
          <t>IMPUTADO</t>
        </is>
      </c>
      <c r="G965" s="4" t="n">
        <v>3352.45</v>
      </c>
    </row>
    <row r="966">
      <c r="A966" s="6" t="inlineStr">
        <is>
          <t>OBRA PLAZA CIRCULAR,  MURCIA</t>
        </is>
      </c>
      <c r="B966" s="6" t="inlineStr">
        <is>
          <t>1.868,00</t>
        </is>
      </c>
      <c r="C966" s="6" t="inlineStr">
        <is>
          <t>26/08/2026</t>
        </is>
      </c>
      <c r="D966" s="6" t="inlineStr">
        <is>
          <t>INSTALACIÓN ELECTRICA</t>
        </is>
      </c>
      <c r="E966" s="6" t="inlineStr"/>
      <c r="F966" s="6" t="inlineStr">
        <is>
          <t>IMPUTADO</t>
        </is>
      </c>
      <c r="G966" s="4" t="n">
        <v>3105.52</v>
      </c>
    </row>
    <row r="967">
      <c r="A967" s="6" t="inlineStr">
        <is>
          <t>OBRA PLAZA CIRCULAR,  MURCIA</t>
        </is>
      </c>
      <c r="B967" s="6" t="inlineStr">
        <is>
          <t>1.577,00</t>
        </is>
      </c>
      <c r="C967" s="6" t="inlineStr">
        <is>
          <t>10/06/2026</t>
        </is>
      </c>
      <c r="D967" s="6" t="inlineStr">
        <is>
          <t>MEJORA - ESTORES / VENTANAS #mejora estores</t>
        </is>
      </c>
      <c r="E967" s="6" t="inlineStr">
        <is>
          <t>ALEJANDRO CUTILLAS CAÑABATE</t>
        </is>
      </c>
      <c r="F967" s="6" t="inlineStr">
        <is>
          <t>IMPUTADO</t>
        </is>
      </c>
      <c r="G967" s="4" t="n">
        <v>3054.1</v>
      </c>
    </row>
    <row r="968">
      <c r="A968" s="6" t="inlineStr">
        <is>
          <t>OBRA PLAZA CIRCULAR,  MURCIA</t>
        </is>
      </c>
      <c r="B968" s="6" t="inlineStr">
        <is>
          <t>1.871,00</t>
        </is>
      </c>
      <c r="C968" s="6" t="inlineStr"/>
      <c r="D968" s="6" t="inlineStr">
        <is>
          <t>INSTALACION ELECTRICA</t>
        </is>
      </c>
      <c r="E968" s="6" t="inlineStr"/>
      <c r="F968" s="6" t="inlineStr">
        <is>
          <t>SIN IMPUTAR</t>
        </is>
      </c>
      <c r="G968" s="4" t="n">
        <v>-3036.67</v>
      </c>
    </row>
    <row r="969">
      <c r="A969" s="6" t="inlineStr">
        <is>
          <t>OBRA PLAZA CIRCULAR,  MURCIA</t>
        </is>
      </c>
      <c r="B969" s="6" t="inlineStr">
        <is>
          <t>1.866,00</t>
        </is>
      </c>
      <c r="C969" s="6" t="inlineStr"/>
      <c r="D969" s="6" t="inlineStr">
        <is>
          <t>INSTALACION ELECTRICA</t>
        </is>
      </c>
      <c r="E969" s="6" t="inlineStr"/>
      <c r="F969" s="6" t="inlineStr">
        <is>
          <t>SIN IMPUTAR</t>
        </is>
      </c>
      <c r="G969" s="4" t="n">
        <v>3036.67</v>
      </c>
    </row>
    <row r="970">
      <c r="A970" s="6" t="inlineStr">
        <is>
          <t>OBRA PLAZA CIRCULAR,  MURCIA</t>
        </is>
      </c>
      <c r="B970" s="6" t="inlineStr">
        <is>
          <t>1.485,00</t>
        </is>
      </c>
      <c r="C970" s="6" t="inlineStr">
        <is>
          <t>27/04/2026</t>
        </is>
      </c>
      <c r="D970" s="6" t="inlineStr">
        <is>
          <t>INSTALACIÓN ELÉCTRICA</t>
        </is>
      </c>
      <c r="E970" s="6" t="inlineStr"/>
      <c r="F970" s="6" t="inlineStr">
        <is>
          <t>IMPUTADO</t>
        </is>
      </c>
      <c r="G970" s="4" t="n">
        <v>3036.67</v>
      </c>
    </row>
    <row r="971">
      <c r="A971" s="6" t="inlineStr">
        <is>
          <t>OBRA PLAZA CIRCULAR,  MURCIA</t>
        </is>
      </c>
      <c r="B971" s="6" t="inlineStr">
        <is>
          <t>1.855,00</t>
        </is>
      </c>
      <c r="C971" s="6" t="inlineStr">
        <is>
          <t>28/07/2026</t>
        </is>
      </c>
      <c r="D971" s="6" t="inlineStr">
        <is>
          <t>FONTANERIA</t>
        </is>
      </c>
      <c r="E971" s="6" t="inlineStr">
        <is>
          <t>HIDROELIKE SLL</t>
        </is>
      </c>
      <c r="F971" s="6" t="inlineStr">
        <is>
          <t>IMPUTADO</t>
        </is>
      </c>
      <c r="G971" s="4" t="n">
        <v>3000</v>
      </c>
    </row>
    <row r="972">
      <c r="A972" s="6" t="inlineStr">
        <is>
          <t>OBRA PLAZA CIRCULAR,  MURCIA</t>
        </is>
      </c>
      <c r="B972" s="6" t="inlineStr">
        <is>
          <t>1.854,00</t>
        </is>
      </c>
      <c r="C972" s="6" t="inlineStr">
        <is>
          <t>28/07/2026</t>
        </is>
      </c>
      <c r="D972" s="6" t="inlineStr">
        <is>
          <t>FONTANERIA</t>
        </is>
      </c>
      <c r="E972" s="6" t="inlineStr">
        <is>
          <t>HIDROELIKE SLL</t>
        </is>
      </c>
      <c r="F972" s="6" t="inlineStr">
        <is>
          <t>IMPUTADO</t>
        </is>
      </c>
      <c r="G972" s="4" t="n">
        <v>3000</v>
      </c>
    </row>
    <row r="973">
      <c r="A973" s="6" t="inlineStr">
        <is>
          <t>OBRA PLAZA CIRCULAR,  MURCIA</t>
        </is>
      </c>
      <c r="B973" s="6" t="inlineStr">
        <is>
          <t>1.870,00</t>
        </is>
      </c>
      <c r="C973" s="6" t="inlineStr"/>
      <c r="D973" s="6" t="inlineStr">
        <is>
          <t>INSTALACION ELÉCTRICA</t>
        </is>
      </c>
      <c r="E973" s="6" t="inlineStr"/>
      <c r="F973" s="6" t="inlineStr">
        <is>
          <t>SIN IMPUTAR</t>
        </is>
      </c>
      <c r="G973" s="4" t="n">
        <v>-2853.33</v>
      </c>
    </row>
    <row r="974">
      <c r="A974" s="6" t="inlineStr">
        <is>
          <t>OBRA PLAZA CIRCULAR,  MURCIA</t>
        </is>
      </c>
      <c r="B974" s="6" t="inlineStr">
        <is>
          <t>1.867,00</t>
        </is>
      </c>
      <c r="C974" s="6" t="inlineStr"/>
      <c r="D974" s="6" t="inlineStr">
        <is>
          <t>INSTALACION ELÉCTRICA</t>
        </is>
      </c>
      <c r="E974" s="6" t="inlineStr"/>
      <c r="F974" s="6" t="inlineStr">
        <is>
          <t>SIN IMPUTAR</t>
        </is>
      </c>
      <c r="G974" s="4" t="n">
        <v>2853.33</v>
      </c>
    </row>
    <row r="975">
      <c r="A975" s="6" t="inlineStr">
        <is>
          <t>OBRA PLAZA CIRCULAR,  MURCIA</t>
        </is>
      </c>
      <c r="B975" s="6" t="inlineStr">
        <is>
          <t>1.484,00</t>
        </is>
      </c>
      <c r="C975" s="6" t="inlineStr">
        <is>
          <t>27/04/2026</t>
        </is>
      </c>
      <c r="D975" s="6" t="inlineStr">
        <is>
          <t>INSTALACIÓN ELÉCTRICA</t>
        </is>
      </c>
      <c r="E975" s="6" t="inlineStr"/>
      <c r="F975" s="6" t="inlineStr">
        <is>
          <t>IMPUTADO</t>
        </is>
      </c>
      <c r="G975" s="4" t="n">
        <v>2853.33</v>
      </c>
    </row>
    <row r="976">
      <c r="A976" s="6" t="inlineStr">
        <is>
          <t>OBRA PLAZA CIRCULAR,  MURCIA</t>
        </is>
      </c>
      <c r="B976" s="6" t="inlineStr">
        <is>
          <t>894,00</t>
        </is>
      </c>
      <c r="C976" s="6" t="inlineStr">
        <is>
          <t>03/03/2026</t>
        </is>
      </c>
      <c r="D976" s="6" t="inlineStr">
        <is>
          <t>GRUA MUDANZA LA FLOTA #levantamiento pavimento/albañileria</t>
        </is>
      </c>
      <c r="E976" s="6" t="inlineStr">
        <is>
          <t>MUDANZAS LA FLOTA SL</t>
        </is>
      </c>
      <c r="F976" s="6" t="inlineStr">
        <is>
          <t>IMPUTADO</t>
        </is>
      </c>
      <c r="G976" s="4" t="n">
        <v>2310</v>
      </c>
    </row>
    <row r="977">
      <c r="A977" s="6" t="inlineStr">
        <is>
          <t>OBRA PLAZA CIRCULAR,  MURCIA</t>
        </is>
      </c>
      <c r="B977" s="6" t="inlineStr">
        <is>
          <t>601,00</t>
        </is>
      </c>
      <c r="C977" s="6" t="inlineStr">
        <is>
          <t>19/02/2026</t>
        </is>
      </c>
      <c r="D977" s="6" t="inlineStr">
        <is>
          <t>GRUA DE LA FLOTA</t>
        </is>
      </c>
      <c r="E977" s="6" t="inlineStr">
        <is>
          <t>MUDANZAS LA FLOTA SL</t>
        </is>
      </c>
      <c r="F977" s="6" t="inlineStr">
        <is>
          <t>IMPUTADO</t>
        </is>
      </c>
      <c r="G977" s="4" t="n">
        <v>1985</v>
      </c>
    </row>
    <row r="978">
      <c r="A978" s="6" t="inlineStr">
        <is>
          <t>OBRA PLAZA CIRCULAR,  MURCIA</t>
        </is>
      </c>
      <c r="B978" s="6" t="inlineStr">
        <is>
          <t>1.787,00</t>
        </is>
      </c>
      <c r="C978" s="6" t="inlineStr">
        <is>
          <t>14/07/2026</t>
        </is>
      </c>
      <c r="D978" s="6" t="inlineStr">
        <is>
          <t>BAJANTES COMUNIDAD</t>
        </is>
      </c>
      <c r="E978" s="6" t="inlineStr">
        <is>
          <t>HIDROELIKE SLL</t>
        </is>
      </c>
      <c r="F978" s="6" t="inlineStr">
        <is>
          <t>IMPUTADO</t>
        </is>
      </c>
      <c r="G978" s="4" t="n">
        <v>1542.05</v>
      </c>
    </row>
    <row r="979">
      <c r="A979" s="6" t="inlineStr">
        <is>
          <t>OBRA PLAZA CIRCULAR,  MURCIA</t>
        </is>
      </c>
      <c r="B979" s="6" t="inlineStr">
        <is>
          <t>1.115,00</t>
        </is>
      </c>
      <c r="C979" s="6" t="inlineStr">
        <is>
          <t>12/03/2026</t>
        </is>
      </c>
      <c r="D979" s="6" t="inlineStr">
        <is>
          <t>CONTENEDORES #levantamiento pavimento</t>
        </is>
      </c>
      <c r="E979" s="6" t="inlineStr">
        <is>
          <t>CONTENEDORES REUNIDOS SL</t>
        </is>
      </c>
      <c r="F979" s="6" t="inlineStr">
        <is>
          <t>IMPUTADO</t>
        </is>
      </c>
      <c r="G979" s="4" t="n">
        <v>1450</v>
      </c>
    </row>
    <row r="980">
      <c r="A980" s="6" t="inlineStr">
        <is>
          <t>OBRA PLAZA CIRCULAR,  MURCIA</t>
        </is>
      </c>
      <c r="B980" s="6" t="inlineStr">
        <is>
          <t>839,00</t>
        </is>
      </c>
      <c r="C980" s="6" t="inlineStr">
        <is>
          <t>19/02/2026</t>
        </is>
      </c>
      <c r="D980" s="6" t="inlineStr">
        <is>
          <t>CONTENEDORES #Material/Proveedor</t>
        </is>
      </c>
      <c r="E980" s="6" t="inlineStr">
        <is>
          <t>CONTENEDORES REUNIDOS SL</t>
        </is>
      </c>
      <c r="F980" s="6" t="inlineStr">
        <is>
          <t>IMPUTADO</t>
        </is>
      </c>
      <c r="G980" s="4" t="n">
        <v>1090</v>
      </c>
    </row>
    <row r="981">
      <c r="A981" s="6" t="inlineStr">
        <is>
          <t>OBRA PLAZA CIRCULAR,  MURCIA</t>
        </is>
      </c>
      <c r="B981" s="6" t="inlineStr">
        <is>
          <t>1.793,00</t>
        </is>
      </c>
      <c r="C981" s="6" t="inlineStr">
        <is>
          <t>13/07/2026</t>
        </is>
      </c>
      <c r="D981" s="6" t="inlineStr">
        <is>
          <t>COLA PORCELANICO</t>
        </is>
      </c>
      <c r="E981" s="6" t="inlineStr">
        <is>
          <t>CONSYDECOR SL</t>
        </is>
      </c>
      <c r="F981" s="6" t="inlineStr">
        <is>
          <t>IMPUTADO</t>
        </is>
      </c>
      <c r="G981" s="4" t="n">
        <v>1059.2</v>
      </c>
    </row>
    <row r="982">
      <c r="A982" s="6" t="inlineStr">
        <is>
          <t>OBRA PLAZA CIRCULAR,  MURCIA</t>
        </is>
      </c>
      <c r="B982" s="6" t="inlineStr">
        <is>
          <t>1.879,00</t>
        </is>
      </c>
      <c r="C982" s="6" t="inlineStr">
        <is>
          <t>26/08/2026</t>
        </is>
      </c>
      <c r="D982" s="6" t="inlineStr">
        <is>
          <t>CONTENEDORES</t>
        </is>
      </c>
      <c r="E982" s="6" t="inlineStr">
        <is>
          <t>CONTENEDORES REUNIDOS SL</t>
        </is>
      </c>
      <c r="F982" s="6" t="inlineStr">
        <is>
          <t>IMPUTADO</t>
        </is>
      </c>
      <c r="G982" s="4" t="n">
        <v>1015</v>
      </c>
    </row>
    <row r="983">
      <c r="A983" s="6" t="inlineStr">
        <is>
          <t>OBRA PLAZA CIRCULAR,  MURCIA</t>
        </is>
      </c>
      <c r="B983" s="6" t="inlineStr">
        <is>
          <t>1.532,00</t>
        </is>
      </c>
      <c r="C983" s="6" t="inlineStr">
        <is>
          <t>25/05/2026</t>
        </is>
      </c>
      <c r="D983" s="6" t="inlineStr">
        <is>
          <t>MUDANZA LA FLOTA</t>
        </is>
      </c>
      <c r="E983" s="6" t="inlineStr">
        <is>
          <t>MUDANZAS LA FLOTA SL</t>
        </is>
      </c>
      <c r="F983" s="6" t="inlineStr">
        <is>
          <t>IMPUTADO</t>
        </is>
      </c>
      <c r="G983" s="4" t="n">
        <v>982.5</v>
      </c>
    </row>
    <row r="984">
      <c r="A984" s="6" t="inlineStr">
        <is>
          <t>OBRA PLAZA CIRCULAR,  MURCIA</t>
        </is>
      </c>
      <c r="B984" s="6" t="inlineStr">
        <is>
          <t>1.258,00</t>
        </is>
      </c>
      <c r="C984" s="6" t="inlineStr">
        <is>
          <t>10/06/2026</t>
        </is>
      </c>
      <c r="D984" s="6" t="inlineStr">
        <is>
          <t>PLATAFORMA FLOTA #albañileria</t>
        </is>
      </c>
      <c r="E984" s="6" t="inlineStr">
        <is>
          <t>MUDANZAS LA FLOTA SL</t>
        </is>
      </c>
      <c r="F984" s="6" t="inlineStr">
        <is>
          <t>IMPUTADO</t>
        </is>
      </c>
      <c r="G984" s="4" t="n">
        <v>920</v>
      </c>
    </row>
    <row r="985">
      <c r="A985" s="6" t="inlineStr">
        <is>
          <t>OBRA PLAZA CIRCULAR,  MURCIA</t>
        </is>
      </c>
      <c r="B985" s="6" t="inlineStr">
        <is>
          <t>1.649,00</t>
        </is>
      </c>
      <c r="C985" s="6" t="inlineStr">
        <is>
          <t>04/06/2026</t>
        </is>
      </c>
      <c r="D985" s="6" t="inlineStr">
        <is>
          <t>GRUA LA FLOTA</t>
        </is>
      </c>
      <c r="E985" s="6" t="inlineStr">
        <is>
          <t>MUDANZAS LA FLOTA SL</t>
        </is>
      </c>
      <c r="F985" s="6" t="inlineStr">
        <is>
          <t>IMPUTADO</t>
        </is>
      </c>
      <c r="G985" s="4" t="n">
        <v>638.75</v>
      </c>
    </row>
    <row r="986">
      <c r="A986" s="6" t="inlineStr">
        <is>
          <t>OBRA PLAZA CIRCULAR,  MURCIA</t>
        </is>
      </c>
      <c r="B986" s="6" t="inlineStr">
        <is>
          <t>1.894,00</t>
        </is>
      </c>
      <c r="C986" s="6" t="inlineStr">
        <is>
          <t>31/08/2026</t>
        </is>
      </c>
      <c r="D986" s="6" t="inlineStr">
        <is>
          <t>GRUA</t>
        </is>
      </c>
      <c r="E986" s="6" t="inlineStr">
        <is>
          <t>GRUAS Y MAQUINARIA PETREL SL</t>
        </is>
      </c>
      <c r="F986" s="6" t="inlineStr">
        <is>
          <t>IMPUTADO</t>
        </is>
      </c>
      <c r="G986" s="4" t="n">
        <v>585</v>
      </c>
    </row>
    <row r="987">
      <c r="A987" s="6" t="inlineStr">
        <is>
          <t>OBRA PLAZA CIRCULAR,  MURCIA</t>
        </is>
      </c>
      <c r="B987" s="6" t="inlineStr">
        <is>
          <t>1.711,00</t>
        </is>
      </c>
      <c r="C987" s="6" t="inlineStr">
        <is>
          <t>16/06/2026</t>
        </is>
      </c>
      <c r="D987" s="6" t="inlineStr">
        <is>
          <t>GRIFERIA EMPOTRADA</t>
        </is>
      </c>
      <c r="E987" s="6" t="inlineStr">
        <is>
          <t>SALTOKI ALICANTE SL.</t>
        </is>
      </c>
      <c r="F987" s="6" t="inlineStr">
        <is>
          <t>IMPUTADO</t>
        </is>
      </c>
      <c r="G987" s="4" t="n">
        <v>579.25</v>
      </c>
    </row>
    <row r="988">
      <c r="A988" s="6" t="inlineStr">
        <is>
          <t>OBRA PLAZA CIRCULAR,  MURCIA</t>
        </is>
      </c>
      <c r="B988" s="6" t="inlineStr">
        <is>
          <t>1.652,00</t>
        </is>
      </c>
      <c r="C988" s="6" t="inlineStr">
        <is>
          <t>04/06/2026</t>
        </is>
      </c>
      <c r="D988" s="6" t="inlineStr">
        <is>
          <t>CONTENEDOR</t>
        </is>
      </c>
      <c r="E988" s="6" t="inlineStr">
        <is>
          <t>CONTENEDORES REUNIDOS SL</t>
        </is>
      </c>
      <c r="F988" s="6" t="inlineStr">
        <is>
          <t>IMPUTADO</t>
        </is>
      </c>
      <c r="G988" s="4" t="n">
        <v>290</v>
      </c>
    </row>
    <row r="989">
      <c r="A989" s="6" t="inlineStr">
        <is>
          <t>OBRA PLAZA CIRCULAR,  MURCIA</t>
        </is>
      </c>
      <c r="B989" s="6" t="inlineStr">
        <is>
          <t>1.572,00</t>
        </is>
      </c>
      <c r="C989" s="6" t="inlineStr">
        <is>
          <t>14/05/2026</t>
        </is>
      </c>
      <c r="D989" s="6" t="inlineStr">
        <is>
          <t>CASETON PLADUR</t>
        </is>
      </c>
      <c r="E989" s="6" t="inlineStr">
        <is>
          <t>SAINT GOBAIN IDAPLAC SL</t>
        </is>
      </c>
      <c r="F989" s="6" t="inlineStr">
        <is>
          <t>IMPUTADO</t>
        </is>
      </c>
      <c r="G989" s="4" t="n">
        <v>248.99</v>
      </c>
    </row>
    <row r="990">
      <c r="A990" s="6" t="inlineStr">
        <is>
          <t>OBRA PLAZA CIRCULAR,  MURCIA</t>
        </is>
      </c>
      <c r="B990" s="6" t="inlineStr">
        <is>
          <t>1.585,00</t>
        </is>
      </c>
      <c r="C990" s="6" t="inlineStr">
        <is>
          <t>14/05/2026</t>
        </is>
      </c>
      <c r="D990" s="6" t="inlineStr">
        <is>
          <t>ESTRUCTURA PLADUR</t>
        </is>
      </c>
      <c r="E990" s="6" t="inlineStr">
        <is>
          <t>BRICOLAJE BRICOMAN SLU</t>
        </is>
      </c>
      <c r="F990" s="6" t="inlineStr">
        <is>
          <t>IMPUTADO</t>
        </is>
      </c>
      <c r="G990" s="4" t="n">
        <v>213.09</v>
      </c>
    </row>
    <row r="991">
      <c r="A991" s="6" t="inlineStr">
        <is>
          <t>OBRA PLAZA CIRCULAR,  MURCIA</t>
        </is>
      </c>
      <c r="B991" s="6" t="inlineStr">
        <is>
          <t>1.727,00</t>
        </is>
      </c>
      <c r="C991" s="6" t="inlineStr">
        <is>
          <t>16/06/2026</t>
        </is>
      </c>
      <c r="D991" s="6" t="inlineStr">
        <is>
          <t>PRIMERA TOMA</t>
        </is>
      </c>
      <c r="E991" s="6" t="inlineStr">
        <is>
          <t>MOVE2GO SL.</t>
        </is>
      </c>
      <c r="F991" s="6" t="inlineStr">
        <is>
          <t>IMPUTADO</t>
        </is>
      </c>
      <c r="G991" s="4" t="n">
        <v>195</v>
      </c>
    </row>
    <row r="992">
      <c r="A992" s="6" t="inlineStr">
        <is>
          <t>OBRA PLAZA CIRCULAR,  MURCIA</t>
        </is>
      </c>
      <c r="B992" s="6" t="inlineStr">
        <is>
          <t>1.684,00</t>
        </is>
      </c>
      <c r="C992" s="6" t="inlineStr">
        <is>
          <t>10/06/2026</t>
        </is>
      </c>
      <c r="D992" s="6" t="inlineStr">
        <is>
          <t>GRUA</t>
        </is>
      </c>
      <c r="E992" s="6" t="inlineStr">
        <is>
          <t>GRUAS Y MAQUINARIA PETREL SL</t>
        </is>
      </c>
      <c r="F992" s="6" t="inlineStr">
        <is>
          <t>IMPUTADO</t>
        </is>
      </c>
      <c r="G992" s="4" t="n">
        <v>195</v>
      </c>
    </row>
    <row r="993">
      <c r="A993" s="6" t="inlineStr">
        <is>
          <t>OBRA PLAZA CIRCULAR,  MURCIA</t>
        </is>
      </c>
      <c r="B993" s="6" t="inlineStr">
        <is>
          <t>1.697,00</t>
        </is>
      </c>
      <c r="C993" s="6" t="inlineStr">
        <is>
          <t>10/06/2026</t>
        </is>
      </c>
      <c r="D993" s="6" t="inlineStr">
        <is>
          <t>MATERIAL PLADUR</t>
        </is>
      </c>
      <c r="E993" s="6" t="inlineStr">
        <is>
          <t>SAINT GOBAIN IDAPLAC SL</t>
        </is>
      </c>
      <c r="F993" s="6" t="inlineStr">
        <is>
          <t>IMPUTADO</t>
        </is>
      </c>
      <c r="G993" s="4" t="n">
        <v>170.23</v>
      </c>
    </row>
    <row r="994">
      <c r="A994" s="6" t="inlineStr">
        <is>
          <t>OBRA PLAZA CIRCULAR,  MURCIA</t>
        </is>
      </c>
      <c r="B994" s="6" t="inlineStr">
        <is>
          <t>1.606,00</t>
        </is>
      </c>
      <c r="C994" s="6" t="inlineStr">
        <is>
          <t>21/05/2026</t>
        </is>
      </c>
      <c r="D994" s="6" t="inlineStr">
        <is>
          <t>PLADUR</t>
        </is>
      </c>
      <c r="E994" s="6" t="inlineStr">
        <is>
          <t>LEROY MERLIN ESPAÑA SL</t>
        </is>
      </c>
      <c r="F994" s="6" t="inlineStr">
        <is>
          <t>IMPUTADO</t>
        </is>
      </c>
      <c r="G994" s="4" t="n">
        <v>148.03</v>
      </c>
    </row>
    <row r="995">
      <c r="A995" s="6" t="inlineStr">
        <is>
          <t>OBRA PLAZA CIRCULAR,  MURCIA</t>
        </is>
      </c>
      <c r="B995" s="6" t="inlineStr">
        <is>
          <t>1.878,00</t>
        </is>
      </c>
      <c r="C995" s="6" t="inlineStr">
        <is>
          <t>26/08/2026</t>
        </is>
      </c>
      <c r="D995" s="6" t="inlineStr">
        <is>
          <t>CONTENEDORES</t>
        </is>
      </c>
      <c r="E995" s="6" t="inlineStr">
        <is>
          <t>CONTENEDORES REUNIDOS SL</t>
        </is>
      </c>
      <c r="F995" s="6" t="inlineStr">
        <is>
          <t>IMPUTADO</t>
        </is>
      </c>
      <c r="G995" s="4" t="n">
        <v>145</v>
      </c>
    </row>
    <row r="996">
      <c r="A996" s="6" t="inlineStr">
        <is>
          <t>OBRA PLAZA CIRCULAR,  MURCIA</t>
        </is>
      </c>
      <c r="B996" s="6" t="inlineStr">
        <is>
          <t>1.562,00</t>
        </is>
      </c>
      <c r="C996" s="6" t="inlineStr">
        <is>
          <t>12/05/2026</t>
        </is>
      </c>
      <c r="D996" s="6" t="inlineStr">
        <is>
          <t>CONTENEDORES</t>
        </is>
      </c>
      <c r="E996" s="6" t="inlineStr">
        <is>
          <t>CONTENEDORES REUNIDOS SL</t>
        </is>
      </c>
      <c r="F996" s="6" t="inlineStr">
        <is>
          <t>IMPUTADO</t>
        </is>
      </c>
      <c r="G996" s="4" t="n">
        <v>145</v>
      </c>
    </row>
    <row r="997">
      <c r="A997" s="6" t="inlineStr">
        <is>
          <t>OBRA PLAZA CIRCULAR,  MURCIA</t>
        </is>
      </c>
      <c r="B997" s="6" t="inlineStr">
        <is>
          <t>1.250,00</t>
        </is>
      </c>
      <c r="C997" s="6" t="inlineStr">
        <is>
          <t>15/04/2026</t>
        </is>
      </c>
      <c r="D997" s="6" t="inlineStr">
        <is>
          <t>CONTENEDOR #derrbio tabiqueria interior, piso, baños y galeria</t>
        </is>
      </c>
      <c r="E997" s="6" t="inlineStr">
        <is>
          <t>CONTENEDORES REUNIDOS SL</t>
        </is>
      </c>
      <c r="F997" s="6" t="inlineStr">
        <is>
          <t>IMPUTADO</t>
        </is>
      </c>
      <c r="G997" s="4" t="n">
        <v>145</v>
      </c>
    </row>
    <row r="998">
      <c r="A998" s="6" t="inlineStr">
        <is>
          <t>OBRA PLAZA CIRCULAR,  MURCIA</t>
        </is>
      </c>
      <c r="B998" s="6" t="inlineStr">
        <is>
          <t>1.653,00</t>
        </is>
      </c>
      <c r="C998" s="6" t="inlineStr">
        <is>
          <t>04/06/2026</t>
        </is>
      </c>
      <c r="D998" s="6" t="inlineStr">
        <is>
          <t>MATERIAL PLADUR</t>
        </is>
      </c>
      <c r="E998" s="6" t="inlineStr">
        <is>
          <t>SUMINISTROS INDUSTRIALES FARELL SA</t>
        </is>
      </c>
      <c r="F998" s="6" t="inlineStr">
        <is>
          <t>IMPUTADO</t>
        </is>
      </c>
      <c r="G998" s="4" t="n">
        <v>124.62</v>
      </c>
    </row>
    <row r="999">
      <c r="A999" s="6" t="inlineStr">
        <is>
          <t>OBRA PLAZA CIRCULAR,  MURCIA</t>
        </is>
      </c>
      <c r="B999" s="6" t="inlineStr">
        <is>
          <t>1.690,00</t>
        </is>
      </c>
      <c r="C999" s="6" t="inlineStr">
        <is>
          <t>10/06/2026</t>
        </is>
      </c>
      <c r="D999" s="6" t="inlineStr">
        <is>
          <t>PLADUR</t>
        </is>
      </c>
      <c r="E999" s="6" t="inlineStr">
        <is>
          <t>BRICOLAJE BRICOMAN SLU</t>
        </is>
      </c>
      <c r="F999" s="6" t="inlineStr">
        <is>
          <t>IMPUTADO</t>
        </is>
      </c>
      <c r="G999" s="4" t="n">
        <v>93.95999999999999</v>
      </c>
    </row>
    <row r="1000">
      <c r="A1000" s="6" t="inlineStr">
        <is>
          <t>OBRA PLAZA CIRCULAR,  MURCIA</t>
        </is>
      </c>
      <c r="B1000" s="6" t="inlineStr">
        <is>
          <t>1.584,00</t>
        </is>
      </c>
      <c r="C1000" s="6" t="inlineStr">
        <is>
          <t>14/05/2026</t>
        </is>
      </c>
      <c r="D1000" s="6" t="inlineStr">
        <is>
          <t>ESTRUCTURA PLADUR</t>
        </is>
      </c>
      <c r="E1000" s="6" t="inlineStr">
        <is>
          <t>BRICOLAJE BRICOMAN SLU</t>
        </is>
      </c>
      <c r="F1000" s="6" t="inlineStr">
        <is>
          <t>IMPUTADO</t>
        </is>
      </c>
      <c r="G1000" s="4" t="n">
        <v>90.25</v>
      </c>
    </row>
    <row r="1001">
      <c r="A1001" s="6" t="inlineStr">
        <is>
          <t>OBRA PLAZA CIRCULAR,  MURCIA</t>
        </is>
      </c>
      <c r="B1001" s="6" t="inlineStr">
        <is>
          <t>1.712,00</t>
        </is>
      </c>
      <c r="C1001" s="6" t="inlineStr">
        <is>
          <t>16/06/2026</t>
        </is>
      </c>
      <c r="D1001" s="6" t="inlineStr">
        <is>
          <t>PLADUR</t>
        </is>
      </c>
      <c r="E1001" s="6" t="inlineStr">
        <is>
          <t>HIJOS DE JOSE BUSQUIER SL</t>
        </is>
      </c>
      <c r="F1001" s="6" t="inlineStr">
        <is>
          <t>IMPUTADO</t>
        </is>
      </c>
      <c r="G1001" s="4" t="n">
        <v>47.22</v>
      </c>
    </row>
    <row r="1002">
      <c r="A1002" s="6" t="inlineStr">
        <is>
          <t>OBRA PLAZA CIRCULAR,  MURCIA</t>
        </is>
      </c>
      <c r="B1002" s="6" t="inlineStr">
        <is>
          <t>1.672,00</t>
        </is>
      </c>
      <c r="C1002" s="6" t="inlineStr">
        <is>
          <t>10/06/2026</t>
        </is>
      </c>
      <c r="D1002" s="6" t="inlineStr">
        <is>
          <t>MATERIAL PLADUR</t>
        </is>
      </c>
      <c r="E1002" s="6" t="inlineStr">
        <is>
          <t>BRICOLAJE BRICOMAN SLU</t>
        </is>
      </c>
      <c r="F1002" s="6" t="inlineStr">
        <is>
          <t>IMPUTADO</t>
        </is>
      </c>
      <c r="G1002" s="4" t="n">
        <v>47.11</v>
      </c>
    </row>
    <row r="1003">
      <c r="A1003" s="6" t="inlineStr">
        <is>
          <t>OBRA PLAZA CIRCULAR,  MURCIA</t>
        </is>
      </c>
      <c r="B1003" s="6" t="inlineStr">
        <is>
          <t>1.743,00</t>
        </is>
      </c>
      <c r="C1003" s="6" t="inlineStr">
        <is>
          <t>23/06/2026</t>
        </is>
      </c>
      <c r="D1003" s="6" t="inlineStr">
        <is>
          <t>VARIOS</t>
        </is>
      </c>
      <c r="E1003" s="6" t="inlineStr">
        <is>
          <t>ROSALIA MARTINEZ RUIZ</t>
        </is>
      </c>
      <c r="F1003" s="6" t="inlineStr">
        <is>
          <t>IMPUTADO</t>
        </is>
      </c>
      <c r="G1003" s="4" t="n">
        <v>41.84</v>
      </c>
    </row>
    <row r="1004">
      <c r="A1004" s="6" t="inlineStr">
        <is>
          <t>OBRA PLAZA CIRCULAR,  MURCIA</t>
        </is>
      </c>
      <c r="B1004" s="6" t="inlineStr">
        <is>
          <t>1.504,00</t>
        </is>
      </c>
      <c r="C1004" s="6" t="inlineStr">
        <is>
          <t>21/05/2026</t>
        </is>
      </c>
      <c r="D1004" s="6" t="inlineStr">
        <is>
          <t>PLADUR</t>
        </is>
      </c>
      <c r="E1004" s="6" t="inlineStr">
        <is>
          <t>MATERIALES DE CONSTRUCCION EL CARACOLES SL</t>
        </is>
      </c>
      <c r="F1004" s="6" t="inlineStr">
        <is>
          <t>IMPUTADO</t>
        </is>
      </c>
      <c r="G1004" s="4" t="n">
        <v>41.46</v>
      </c>
    </row>
    <row r="1005">
      <c r="A1005" s="6" t="inlineStr">
        <is>
          <t>OBRA PLAZA CIRCULAR,  MURCIA</t>
        </is>
      </c>
      <c r="B1005" s="6" t="inlineStr">
        <is>
          <t>1.760,00</t>
        </is>
      </c>
      <c r="C1005" s="6" t="inlineStr">
        <is>
          <t>30/06/2026</t>
        </is>
      </c>
      <c r="D1005" s="6" t="inlineStr">
        <is>
          <t>MATERIAL</t>
        </is>
      </c>
      <c r="E1005" s="6" t="inlineStr">
        <is>
          <t>BRICOLAJE BRICOMAN SLU</t>
        </is>
      </c>
      <c r="F1005" s="6" t="inlineStr">
        <is>
          <t>IMPUTADO</t>
        </is>
      </c>
      <c r="G1005" s="4" t="n">
        <v>40.79</v>
      </c>
    </row>
    <row r="1006">
      <c r="A1006" s="6" t="inlineStr">
        <is>
          <t>OBRA PLAZA CIRCULAR,  MURCIA</t>
        </is>
      </c>
      <c r="B1006" s="6" t="inlineStr">
        <is>
          <t>1.714,00</t>
        </is>
      </c>
      <c r="C1006" s="6" t="inlineStr">
        <is>
          <t>16/06/2026</t>
        </is>
      </c>
      <c r="D1006" s="6" t="inlineStr">
        <is>
          <t>PLADUR</t>
        </is>
      </c>
      <c r="E1006" s="6" t="inlineStr">
        <is>
          <t>LEROY MERLIN ESPAÑA SL</t>
        </is>
      </c>
      <c r="F1006" s="6" t="inlineStr">
        <is>
          <t>IMPUTADO</t>
        </is>
      </c>
      <c r="G1006" s="4" t="n">
        <v>37.11</v>
      </c>
    </row>
    <row r="1007">
      <c r="A1007" s="6" t="inlineStr">
        <is>
          <t>OBRA PLAZA CIRCULAR,  MURCIA</t>
        </is>
      </c>
      <c r="B1007" s="6" t="inlineStr">
        <is>
          <t>1.663,00</t>
        </is>
      </c>
      <c r="C1007" s="6" t="inlineStr">
        <is>
          <t>05/06/2026</t>
        </is>
      </c>
      <c r="D1007" s="6" t="inlineStr">
        <is>
          <t>PINTURA #arreglo piso inferior</t>
        </is>
      </c>
      <c r="E1007" s="6" t="inlineStr">
        <is>
          <t>SANZ BUILDING 2000 SL</t>
        </is>
      </c>
      <c r="F1007" s="6" t="inlineStr">
        <is>
          <t>IMPUTADO</t>
        </is>
      </c>
      <c r="G1007" s="4" t="n">
        <v>33.71</v>
      </c>
    </row>
    <row r="1008">
      <c r="A1008" s="6" t="inlineStr">
        <is>
          <t>OBRA PLAZA CIRCULAR,  MURCIA</t>
        </is>
      </c>
      <c r="B1008" s="6" t="inlineStr">
        <is>
          <t>1.527,00</t>
        </is>
      </c>
      <c r="C1008" s="6" t="inlineStr">
        <is>
          <t>10/06/2026</t>
        </is>
      </c>
      <c r="D1008" s="6" t="inlineStr">
        <is>
          <t>ESPUMA POLIURETANO / TEJAS</t>
        </is>
      </c>
      <c r="E1008" s="6" t="inlineStr">
        <is>
          <t>LEROY MERLIN ESPAÑA SL</t>
        </is>
      </c>
      <c r="F1008" s="6" t="inlineStr">
        <is>
          <t>IMPUTADO</t>
        </is>
      </c>
      <c r="G1008" s="4" t="n">
        <v>33.06</v>
      </c>
    </row>
    <row r="1009">
      <c r="A1009" s="6" t="inlineStr">
        <is>
          <t>OBRA PLAZA CIRCULAR,  MURCIA</t>
        </is>
      </c>
      <c r="B1009" s="6" t="inlineStr">
        <is>
          <t>1.695,00</t>
        </is>
      </c>
      <c r="C1009" s="6" t="inlineStr">
        <is>
          <t>10/06/2026</t>
        </is>
      </c>
      <c r="D1009" s="6" t="inlineStr">
        <is>
          <t>PLADUR</t>
        </is>
      </c>
      <c r="E1009" s="6" t="inlineStr">
        <is>
          <t>LEROY MERLIN ESPAÑA SL</t>
        </is>
      </c>
      <c r="F1009" s="6" t="inlineStr">
        <is>
          <t>IMPUTADO</t>
        </is>
      </c>
      <c r="G1009" s="4" t="n">
        <v>32.33</v>
      </c>
    </row>
    <row r="1010">
      <c r="A1010" s="6" t="inlineStr">
        <is>
          <t>OBRA PLAZA CIRCULAR,  MURCIA</t>
        </is>
      </c>
      <c r="B1010" s="6" t="inlineStr">
        <is>
          <t>1.798,00</t>
        </is>
      </c>
      <c r="C1010" s="6" t="inlineStr">
        <is>
          <t>10/07/2026</t>
        </is>
      </c>
      <c r="D1010" s="6" t="inlineStr">
        <is>
          <t>PUNTAS PLADUR</t>
        </is>
      </c>
      <c r="E1010" s="6" t="inlineStr">
        <is>
          <t>WURTH ESPAÑA SA</t>
        </is>
      </c>
      <c r="F1010" s="6" t="inlineStr">
        <is>
          <t>IMPUTADO</t>
        </is>
      </c>
      <c r="G1010" s="4" t="n">
        <v>32.3</v>
      </c>
    </row>
    <row r="1011">
      <c r="A1011" s="6" t="inlineStr">
        <is>
          <t>OBRA PLAZA CIRCULAR,  MURCIA</t>
        </is>
      </c>
      <c r="B1011" s="6" t="inlineStr">
        <is>
          <t>1.757,00</t>
        </is>
      </c>
      <c r="C1011" s="6" t="inlineStr">
        <is>
          <t>30/06/2026</t>
        </is>
      </c>
      <c r="D1011" s="6" t="inlineStr">
        <is>
          <t>PLADUR TECHOS</t>
        </is>
      </c>
      <c r="E1011" s="6" t="inlineStr">
        <is>
          <t>ROSALIA MARTINEZ RUIZ</t>
        </is>
      </c>
      <c r="F1011" s="6" t="inlineStr">
        <is>
          <t>IMPUTADO</t>
        </is>
      </c>
      <c r="G1011" s="4" t="n">
        <v>31.4</v>
      </c>
    </row>
    <row r="1012">
      <c r="A1012" s="6" t="inlineStr">
        <is>
          <t>OBRA PLAZA CIRCULAR,  MURCIA</t>
        </is>
      </c>
      <c r="B1012" s="6" t="inlineStr">
        <is>
          <t>1.529,00</t>
        </is>
      </c>
      <c r="C1012" s="6" t="inlineStr">
        <is>
          <t>25/05/2026</t>
        </is>
      </c>
      <c r="D1012" s="6" t="inlineStr">
        <is>
          <t>MATERIAL</t>
        </is>
      </c>
      <c r="E1012" s="6" t="inlineStr">
        <is>
          <t>LEROY MERLIN ESPAÑA SL</t>
        </is>
      </c>
      <c r="F1012" s="6" t="inlineStr">
        <is>
          <t>IMPUTADO</t>
        </is>
      </c>
      <c r="G1012" s="4" t="n">
        <v>29.24</v>
      </c>
    </row>
    <row r="1013">
      <c r="A1013" s="6" t="inlineStr">
        <is>
          <t>OBRA PLAZA CIRCULAR,  MURCIA</t>
        </is>
      </c>
      <c r="B1013" s="6" t="inlineStr">
        <is>
          <t>1.725,00</t>
        </is>
      </c>
      <c r="C1013" s="6" t="inlineStr">
        <is>
          <t>16/06/2026</t>
        </is>
      </c>
      <c r="D1013" s="6" t="inlineStr">
        <is>
          <t>PINTURA</t>
        </is>
      </c>
      <c r="E1013" s="6" t="inlineStr">
        <is>
          <t>DECOBRIC SANZ SL</t>
        </is>
      </c>
      <c r="F1013" s="6" t="inlineStr">
        <is>
          <t>IMPUTADO</t>
        </is>
      </c>
      <c r="G1013" s="4" t="n">
        <v>28.3</v>
      </c>
    </row>
    <row r="1014">
      <c r="A1014" s="6" t="inlineStr">
        <is>
          <t>OBRA PLAZA CIRCULAR,  MURCIA</t>
        </is>
      </c>
      <c r="B1014" s="6" t="inlineStr">
        <is>
          <t>1.680,00</t>
        </is>
      </c>
      <c r="C1014" s="6" t="inlineStr">
        <is>
          <t>10/06/2026</t>
        </is>
      </c>
      <c r="D1014" s="6" t="inlineStr">
        <is>
          <t>PLADUR</t>
        </is>
      </c>
      <c r="E1014" s="6" t="inlineStr">
        <is>
          <t>BRICOLAJE BRICOMAN SLU</t>
        </is>
      </c>
      <c r="F1014" s="6" t="inlineStr">
        <is>
          <t>IMPUTADO</t>
        </is>
      </c>
      <c r="G1014" s="4" t="n">
        <v>27.67</v>
      </c>
    </row>
    <row r="1015">
      <c r="A1015" s="6" t="inlineStr">
        <is>
          <t>OBRA PLAZA CIRCULAR,  MURCIA</t>
        </is>
      </c>
      <c r="B1015" s="6" t="inlineStr">
        <is>
          <t>1.581,00</t>
        </is>
      </c>
      <c r="C1015" s="6" t="inlineStr">
        <is>
          <t>14/05/2026</t>
        </is>
      </c>
      <c r="D1015" s="6" t="inlineStr">
        <is>
          <t>PLADUR</t>
        </is>
      </c>
      <c r="E1015" s="6" t="inlineStr">
        <is>
          <t>LEROY MERLIN ESPAÑA SL</t>
        </is>
      </c>
      <c r="F1015" s="6" t="inlineStr">
        <is>
          <t>IMPUTADO</t>
        </is>
      </c>
      <c r="G1015" s="4" t="n">
        <v>21.74</v>
      </c>
    </row>
    <row r="1016">
      <c r="A1016" s="6" t="inlineStr">
        <is>
          <t>OBRA PLAZA CIRCULAR,  MURCIA</t>
        </is>
      </c>
      <c r="B1016" s="6" t="inlineStr">
        <is>
          <t>1.531,00</t>
        </is>
      </c>
      <c r="C1016" s="6" t="inlineStr">
        <is>
          <t>21/05/2026</t>
        </is>
      </c>
      <c r="D1016" s="6" t="inlineStr">
        <is>
          <t>TORNILLO AUTOROSCA</t>
        </is>
      </c>
      <c r="E1016" s="6" t="inlineStr">
        <is>
          <t>BRICOLAJE BRICOMAN SLU</t>
        </is>
      </c>
      <c r="F1016" s="6" t="inlineStr">
        <is>
          <t>IMPUTADO</t>
        </is>
      </c>
      <c r="G1016" s="4" t="n">
        <v>16.5</v>
      </c>
    </row>
    <row r="1017">
      <c r="A1017" s="6" t="inlineStr">
        <is>
          <t>OBRA PLAZA CIRCULAR,  MURCIA</t>
        </is>
      </c>
      <c r="B1017" s="6" t="inlineStr">
        <is>
          <t>1.736,00</t>
        </is>
      </c>
      <c r="C1017" s="6" t="inlineStr">
        <is>
          <t>19/06/2026</t>
        </is>
      </c>
      <c r="D1017" s="6" t="inlineStr">
        <is>
          <t>PLADUR Y AYUDAS</t>
        </is>
      </c>
      <c r="E1017" s="6" t="inlineStr">
        <is>
          <t>BRICOLAJE BRICOMAN SLU</t>
        </is>
      </c>
      <c r="F1017" s="6" t="inlineStr">
        <is>
          <t>IMPUTADO</t>
        </is>
      </c>
      <c r="G1017" s="4" t="n">
        <v>9.66</v>
      </c>
    </row>
    <row r="1018">
      <c r="A1018" s="6" t="inlineStr">
        <is>
          <t>OBRA PLAZA CIRCULAR,  MURCIA</t>
        </is>
      </c>
      <c r="B1018" s="6" t="inlineStr">
        <is>
          <t>1.526,00</t>
        </is>
      </c>
      <c r="C1018" s="6" t="inlineStr">
        <is>
          <t>25/05/2026</t>
        </is>
      </c>
      <c r="D1018" s="6" t="inlineStr">
        <is>
          <t>SACO ARENA</t>
        </is>
      </c>
      <c r="E1018" s="6" t="inlineStr">
        <is>
          <t>LEROY MERLIN ESPAÑA SL</t>
        </is>
      </c>
      <c r="F1018" s="6" t="inlineStr">
        <is>
          <t>IMPUTADO</t>
        </is>
      </c>
      <c r="G1018" s="4" t="n">
        <v>8.83</v>
      </c>
    </row>
    <row r="1019">
      <c r="A1019" s="6" t="inlineStr">
        <is>
          <t>OBRA PLAZA CIRCULAR,  MURCIA</t>
        </is>
      </c>
      <c r="B1019" s="6" t="inlineStr">
        <is>
          <t>1.696,00</t>
        </is>
      </c>
      <c r="C1019" s="6" t="inlineStr">
        <is>
          <t>10/06/2026</t>
        </is>
      </c>
      <c r="D1019" s="6" t="inlineStr">
        <is>
          <t>PLADUR</t>
        </is>
      </c>
      <c r="E1019" s="6" t="inlineStr">
        <is>
          <t>SAINT GOBAIN IDAPLAC SL</t>
        </is>
      </c>
      <c r="F1019" s="6" t="inlineStr">
        <is>
          <t>IMPUTADO</t>
        </is>
      </c>
      <c r="G1019" s="4" t="n">
        <v>8.19</v>
      </c>
    </row>
    <row r="1020">
      <c r="A1020" s="6" t="inlineStr">
        <is>
          <t>OBRAS MEJORA DEL VALLADO Y ENTORNO Y CENTRO DE RECEPCION DE VISITANTES DEL CASTILLO DE ELDA</t>
        </is>
      </c>
      <c r="B1020" s="6" t="inlineStr">
        <is>
          <t>1.829,00</t>
        </is>
      </c>
      <c r="C1020" s="6" t="inlineStr">
        <is>
          <t>23/07/2026</t>
        </is>
      </c>
      <c r="D1020" s="6" t="inlineStr">
        <is>
          <t>HIERRO CIMENTACION Y MUROS</t>
        </is>
      </c>
      <c r="E1020" s="6" t="inlineStr">
        <is>
          <t>FERRALLAS MONFORTE DEL CID SL.</t>
        </is>
      </c>
      <c r="F1020" s="6" t="inlineStr">
        <is>
          <t>IMPUTADO</t>
        </is>
      </c>
      <c r="G1020" s="4" t="n">
        <v>2433.16</v>
      </c>
    </row>
    <row r="1021">
      <c r="A1021" s="6" t="inlineStr">
        <is>
          <t>OBRAS MEJORA DEL VALLADO Y ENTORNO Y CENTRO DE RECEPCION DE VISITANTES DEL CASTILLO DE ELDA</t>
        </is>
      </c>
      <c r="B1021" s="6" t="inlineStr">
        <is>
          <t>1.895,00</t>
        </is>
      </c>
      <c r="C1021" s="6" t="inlineStr">
        <is>
          <t>31/08/2026</t>
        </is>
      </c>
      <c r="D1021" s="6" t="inlineStr">
        <is>
          <t>HORMIGON</t>
        </is>
      </c>
      <c r="E1021" s="6" t="inlineStr">
        <is>
          <t>HORMIGONES DEL VINALOPO SA</t>
        </is>
      </c>
      <c r="F1021" s="6" t="inlineStr">
        <is>
          <t>IMPUTADO</t>
        </is>
      </c>
      <c r="G1021" s="4" t="n">
        <v>2401.76</v>
      </c>
    </row>
    <row r="1022">
      <c r="A1022" s="6" t="inlineStr">
        <is>
          <t>OBRAS MEJORA DEL VALLADO Y ENTORNO Y CENTRO DE RECEPCION DE VISITANTES DEL CASTILLO DE ELDA</t>
        </is>
      </c>
      <c r="B1022" s="6" t="inlineStr">
        <is>
          <t>1.843,00</t>
        </is>
      </c>
      <c r="C1022" s="6" t="inlineStr">
        <is>
          <t>24/07/2026</t>
        </is>
      </c>
      <c r="D1022" s="6" t="inlineStr">
        <is>
          <t>HORMIGÓN CIMENTACION</t>
        </is>
      </c>
      <c r="E1022" s="6" t="inlineStr">
        <is>
          <t>SEBASTIAN NAVARRO SL</t>
        </is>
      </c>
      <c r="F1022" s="6" t="inlineStr">
        <is>
          <t>IMPUTADO</t>
        </is>
      </c>
      <c r="G1022" s="4" t="n">
        <v>1560</v>
      </c>
    </row>
    <row r="1023">
      <c r="A1023" s="6" t="inlineStr">
        <is>
          <t>OBRAS MEJORA DEL VALLADO Y ENTORNO Y CENTRO DE RECEPCION DE VISITANTES DEL CASTILLO DE ELDA</t>
        </is>
      </c>
      <c r="B1023" s="6" t="inlineStr">
        <is>
          <t>1.877,00</t>
        </is>
      </c>
      <c r="C1023" s="6" t="inlineStr">
        <is>
          <t>26/08/2026</t>
        </is>
      </c>
      <c r="D1023" s="6" t="inlineStr">
        <is>
          <t>GRUA</t>
        </is>
      </c>
      <c r="E1023" s="6" t="inlineStr">
        <is>
          <t>GRUAS ILICITANAS SL.</t>
        </is>
      </c>
      <c r="F1023" s="6" t="inlineStr">
        <is>
          <t>IMPUTADO</t>
        </is>
      </c>
      <c r="G1023" s="4" t="n">
        <v>1550.25</v>
      </c>
    </row>
    <row r="1024">
      <c r="A1024" s="6" t="inlineStr">
        <is>
          <t>OBRAS MEJORA DEL VALLADO Y ENTORNO Y CENTRO DE RECEPCION DE VISITANTES DEL CASTILLO DE ELDA</t>
        </is>
      </c>
      <c r="B1024" s="6" t="inlineStr">
        <is>
          <t>1.893,00</t>
        </is>
      </c>
      <c r="C1024" s="6" t="inlineStr">
        <is>
          <t>31/08/2026</t>
        </is>
      </c>
      <c r="D1024" s="6" t="inlineStr">
        <is>
          <t>GRUA</t>
        </is>
      </c>
      <c r="E1024" s="6" t="inlineStr">
        <is>
          <t>GRUAS Y MAQUINARIA PETREL SL</t>
        </is>
      </c>
      <c r="F1024" s="6" t="inlineStr">
        <is>
          <t>IMPUTADO</t>
        </is>
      </c>
      <c r="G1024" s="4" t="n">
        <v>1365</v>
      </c>
    </row>
    <row r="1025">
      <c r="A1025" s="6" t="inlineStr">
        <is>
          <t>OBRAS MEJORA DEL VALLADO Y ENTORNO Y CENTRO DE RECEPCION DE VISITANTES DEL CASTILLO DE ELDA</t>
        </is>
      </c>
      <c r="B1025" s="6" t="inlineStr">
        <is>
          <t>1.865,00</t>
        </is>
      </c>
      <c r="C1025" s="6" t="inlineStr">
        <is>
          <t>25/08/2026</t>
        </is>
      </c>
      <c r="D1025" s="6" t="inlineStr">
        <is>
          <t>PRESUPUESTO 641631</t>
        </is>
      </c>
      <c r="E1025" s="6" t="inlineStr">
        <is>
          <t>LEROY MERLIN ESPAÑA SL</t>
        </is>
      </c>
      <c r="F1025" s="6" t="inlineStr">
        <is>
          <t>IMPUTADO</t>
        </is>
      </c>
      <c r="G1025" s="4" t="n">
        <v>998.6900000000001</v>
      </c>
    </row>
    <row r="1026">
      <c r="A1026" s="6" t="inlineStr">
        <is>
          <t>OBRAS MEJORA DEL VALLADO Y ENTORNO Y CENTRO DE RECEPCION DE VISITANTES DEL CASTILLO DE ELDA</t>
        </is>
      </c>
      <c r="B1026" s="6" t="inlineStr">
        <is>
          <t>1.810,00</t>
        </is>
      </c>
      <c r="C1026" s="6" t="inlineStr">
        <is>
          <t>13/07/2026</t>
        </is>
      </c>
      <c r="D1026" s="6" t="inlineStr">
        <is>
          <t>HORMIGON LIMPIEZA</t>
        </is>
      </c>
      <c r="E1026" s="6" t="inlineStr">
        <is>
          <t>SEBASTIAN NAVARRO SL</t>
        </is>
      </c>
      <c r="F1026" s="6" t="inlineStr">
        <is>
          <t>IMPUTADO</t>
        </is>
      </c>
      <c r="G1026" s="4" t="n">
        <v>510</v>
      </c>
    </row>
    <row r="1027">
      <c r="A1027" s="6" t="inlineStr">
        <is>
          <t>OBRAS MEJORA DEL VALLADO Y ENTORNO Y CENTRO DE RECEPCION DE VISITANTES DEL CASTILLO DE ELDA</t>
        </is>
      </c>
      <c r="B1027" s="6" t="inlineStr">
        <is>
          <t>1.852,00</t>
        </is>
      </c>
      <c r="C1027" s="6" t="inlineStr">
        <is>
          <t>28/07/2026</t>
        </is>
      </c>
      <c r="D1027" s="6" t="inlineStr">
        <is>
          <t>ELECTRICIDAD CUADRO</t>
        </is>
      </c>
      <c r="E1027" s="6" t="inlineStr">
        <is>
          <t>GABRIEL MOYA INSTALACIONES ELECTRICAS SL.</t>
        </is>
      </c>
      <c r="F1027" s="6" t="inlineStr">
        <is>
          <t>IMPUTADO</t>
        </is>
      </c>
      <c r="G1027" s="4" t="n">
        <v>426</v>
      </c>
    </row>
    <row r="1028">
      <c r="A1028" s="6" t="inlineStr">
        <is>
          <t>OBRAS MEJORA DEL VALLADO Y ENTORNO Y CENTRO DE RECEPCION DE VISITANTES DEL CASTILLO DE ELDA</t>
        </is>
      </c>
      <c r="B1028" s="6" t="inlineStr">
        <is>
          <t>1.858,00</t>
        </is>
      </c>
      <c r="C1028" s="6" t="inlineStr">
        <is>
          <t>28/07/2026</t>
        </is>
      </c>
      <c r="D1028" s="6" t="inlineStr">
        <is>
          <t>GRUA</t>
        </is>
      </c>
      <c r="E1028" s="6" t="inlineStr">
        <is>
          <t>GRUAS Y MAQUINARIA PETREL SL</t>
        </is>
      </c>
      <c r="F1028" s="6" t="inlineStr">
        <is>
          <t>IMPUTADO</t>
        </is>
      </c>
      <c r="G1028" s="4" t="n">
        <v>325</v>
      </c>
    </row>
    <row r="1029">
      <c r="A1029" s="6" t="inlineStr">
        <is>
          <t>OBRAS MEJORA DEL VALLADO Y ENTORNO Y CENTRO DE RECEPCION DE VISITANTES DEL CASTILLO DE ELDA</t>
        </is>
      </c>
      <c r="B1029" s="6" t="inlineStr">
        <is>
          <t>1.884,00</t>
        </is>
      </c>
      <c r="C1029" s="6" t="inlineStr">
        <is>
          <t>31/08/2026</t>
        </is>
      </c>
      <c r="D1029" s="6" t="inlineStr">
        <is>
          <t>TOMA DE MUESTRAS DE HORMIGON FRESCO</t>
        </is>
      </c>
      <c r="E1029" s="6" t="inlineStr">
        <is>
          <t>LABORATORIO DE INGENIERIA Y MEDIO AMBIENTE SA.</t>
        </is>
      </c>
      <c r="F1029" s="6" t="inlineStr">
        <is>
          <t>IMPUTADO</t>
        </is>
      </c>
      <c r="G1029" s="4" t="n">
        <v>100</v>
      </c>
    </row>
    <row r="1030">
      <c r="A1030" s="6" t="inlineStr">
        <is>
          <t>OBRAS MEJORA DEL VALLADO Y ENTORNO Y CENTRO DE RECEPCION DE VISITANTES DEL CASTILLO DE ELDA</t>
        </is>
      </c>
      <c r="B1030" s="6" t="inlineStr">
        <is>
          <t>1.790,00</t>
        </is>
      </c>
      <c r="C1030" s="6" t="inlineStr">
        <is>
          <t>13/07/2026</t>
        </is>
      </c>
      <c r="D1030" s="6" t="inlineStr">
        <is>
          <t>FILM PE GALGA</t>
        </is>
      </c>
      <c r="E1030" s="6" t="inlineStr">
        <is>
          <t>BRICOLAJE BRICOMAN SLU</t>
        </is>
      </c>
      <c r="F1030" s="6" t="inlineStr">
        <is>
          <t>IMPUTADO</t>
        </is>
      </c>
      <c r="G1030" s="4" t="n">
        <v>92.56</v>
      </c>
    </row>
    <row r="1031">
      <c r="A1031" s="6" t="inlineStr">
        <is>
          <t>PRESUPUESTO OBRA BARINAS - JUANPE Y TRINI (ADMINISTRACION)</t>
        </is>
      </c>
      <c r="B1031" s="6" t="inlineStr">
        <is>
          <t>850,00</t>
        </is>
      </c>
      <c r="C1031" s="6" t="inlineStr">
        <is>
          <t>20/02/2026</t>
        </is>
      </c>
      <c r="D1031" s="6" t="inlineStr">
        <is>
          <t>HORAS MINI CARGADORA</t>
        </is>
      </c>
      <c r="E1031" s="6" t="inlineStr">
        <is>
          <t>TREXGRUCO SL.</t>
        </is>
      </c>
      <c r="F1031" s="6" t="inlineStr">
        <is>
          <t>IMPUTADO</t>
        </is>
      </c>
      <c r="G1031" s="4" t="n">
        <v>4728</v>
      </c>
    </row>
    <row r="1032">
      <c r="A1032" s="6" t="inlineStr">
        <is>
          <t>PRESUPUESTO OBRA BARINAS - JUANPE Y TRINI (ADMINISTRACION)</t>
        </is>
      </c>
      <c r="B1032" s="6" t="inlineStr">
        <is>
          <t>880,00</t>
        </is>
      </c>
      <c r="C1032" s="6" t="inlineStr">
        <is>
          <t>02/03/2026</t>
        </is>
      </c>
      <c r="D1032" s="6" t="inlineStr">
        <is>
          <t>LEROY MERLIN (PRESUPUESTO 607424-1)</t>
        </is>
      </c>
      <c r="E1032" s="6" t="inlineStr">
        <is>
          <t>LEROY MERLIN ESPAÑA SL</t>
        </is>
      </c>
      <c r="F1032" s="6" t="inlineStr">
        <is>
          <t>IMPUTADO</t>
        </is>
      </c>
      <c r="G1032" s="4" t="n">
        <v>4242.79</v>
      </c>
    </row>
    <row r="1033">
      <c r="A1033" s="6" t="inlineStr">
        <is>
          <t>PRESUPUESTO OBRA BARINAS - JUANPE Y TRINI (ADMINISTRACION)</t>
        </is>
      </c>
      <c r="B1033" s="6" t="inlineStr">
        <is>
          <t>893,00</t>
        </is>
      </c>
      <c r="C1033" s="6" t="inlineStr">
        <is>
          <t>03/03/2026</t>
        </is>
      </c>
      <c r="D1033" s="6" t="inlineStr">
        <is>
          <t>TABLERO TEJADO VISTO Y RASTRELES</t>
        </is>
      </c>
      <c r="E1033" s="6" t="inlineStr">
        <is>
          <t>MADERAS RIO SEGURA ALQUILERES SL</t>
        </is>
      </c>
      <c r="F1033" s="6" t="inlineStr">
        <is>
          <t>IMPUTADO</t>
        </is>
      </c>
      <c r="G1033" s="4" t="n">
        <v>3207.63</v>
      </c>
    </row>
    <row r="1034">
      <c r="A1034" s="6" t="inlineStr">
        <is>
          <t>PRESUPUESTO OBRA BARINAS - JUANPE Y TRINI (ADMINISTRACION)</t>
        </is>
      </c>
      <c r="B1034" s="6" t="inlineStr">
        <is>
          <t>881,00</t>
        </is>
      </c>
      <c r="C1034" s="6" t="inlineStr">
        <is>
          <t>02/03/2026</t>
        </is>
      </c>
      <c r="D1034" s="6" t="inlineStr">
        <is>
          <t>LEROY MERLIN (PRESUPUESTO 607424-2)</t>
        </is>
      </c>
      <c r="E1034" s="6" t="inlineStr">
        <is>
          <t>LEROY MERLIN ESPAÑA SL</t>
        </is>
      </c>
      <c r="F1034" s="6" t="inlineStr">
        <is>
          <t>IMPUTADO</t>
        </is>
      </c>
      <c r="G1034" s="4" t="n">
        <v>1497.32</v>
      </c>
    </row>
    <row r="1035">
      <c r="A1035" s="6" t="inlineStr">
        <is>
          <t>PRESUPUESTO OBRA BARINAS - JUANPE Y TRINI (ADMINISTRACION)</t>
        </is>
      </c>
      <c r="B1035" s="6" t="inlineStr">
        <is>
          <t>1.518,00</t>
        </is>
      </c>
      <c r="C1035" s="6" t="inlineStr">
        <is>
          <t>05/05/2026</t>
        </is>
      </c>
      <c r="D1035" s="6" t="inlineStr">
        <is>
          <t>FERRALLA PISCINA</t>
        </is>
      </c>
      <c r="E1035" s="6" t="inlineStr">
        <is>
          <t>FERRALLAS MONFORTE DEL CID SL.</t>
        </is>
      </c>
      <c r="F1035" s="6" t="inlineStr">
        <is>
          <t>IMPUTADO</t>
        </is>
      </c>
      <c r="G1035" s="4" t="n">
        <v>1433.9</v>
      </c>
    </row>
    <row r="1036">
      <c r="A1036" s="6" t="inlineStr">
        <is>
          <t>PRESUPUESTO OBRA BARINAS - JUANPE Y TRINI (ADMINISTRACION)</t>
        </is>
      </c>
      <c r="B1036" s="6" t="inlineStr">
        <is>
          <t>1.281,00</t>
        </is>
      </c>
      <c r="C1036" s="6" t="inlineStr">
        <is>
          <t>23/04/2026</t>
        </is>
      </c>
      <c r="D1036" s="6" t="inlineStr">
        <is>
          <t>PRESUPUESTO N.º 617768</t>
        </is>
      </c>
      <c r="E1036" s="6" t="inlineStr">
        <is>
          <t>LEROY MERLIN ESPAÑA SL</t>
        </is>
      </c>
      <c r="F1036" s="6" t="inlineStr">
        <is>
          <t>IMPUTADO</t>
        </is>
      </c>
      <c r="G1036" s="4" t="n">
        <v>756.1799999999999</v>
      </c>
    </row>
    <row r="1037">
      <c r="A1037" s="6" t="inlineStr">
        <is>
          <t>PRESUPUESTO OBRA BARINAS - JUANPE Y TRINI (ADMINISTRACION)</t>
        </is>
      </c>
      <c r="B1037" s="6" t="inlineStr">
        <is>
          <t>1.243,00</t>
        </is>
      </c>
      <c r="C1037" s="6" t="inlineStr">
        <is>
          <t>09/04/2026</t>
        </is>
      </c>
      <c r="D1037" s="6" t="inlineStr">
        <is>
          <t>PRESUPUESTO Nº 615230</t>
        </is>
      </c>
      <c r="E1037" s="6" t="inlineStr">
        <is>
          <t>LEROY MERLIN ESPAÑA SL</t>
        </is>
      </c>
      <c r="F1037" s="6" t="inlineStr">
        <is>
          <t>IMPUTADO</t>
        </is>
      </c>
      <c r="G1037" s="4" t="n">
        <v>474.73</v>
      </c>
    </row>
    <row r="1038">
      <c r="A1038" s="6" t="inlineStr">
        <is>
          <t>PRESUPUESTO OBRA BARINAS - JUANPE Y TRINI (ADMINISTRACION)</t>
        </is>
      </c>
      <c r="B1038" s="6" t="inlineStr">
        <is>
          <t>1.487,00</t>
        </is>
      </c>
      <c r="C1038" s="6" t="inlineStr">
        <is>
          <t>27/04/2026</t>
        </is>
      </c>
      <c r="D1038" s="6" t="inlineStr">
        <is>
          <t>GRUA</t>
        </is>
      </c>
      <c r="E1038" s="6" t="inlineStr">
        <is>
          <t>GRUAS Y MAQUINARIA PETREL SL</t>
        </is>
      </c>
      <c r="F1038" s="6" t="inlineStr">
        <is>
          <t>IMPUTADO</t>
        </is>
      </c>
      <c r="G1038" s="4" t="n">
        <v>390</v>
      </c>
    </row>
    <row r="1039">
      <c r="A1039" s="6" t="inlineStr">
        <is>
          <t>PRESUPUESTO OBRA BARINAS - JUANPE Y TRINI (ADMINISTRACION)</t>
        </is>
      </c>
      <c r="B1039" s="6" t="inlineStr">
        <is>
          <t>847,00</t>
        </is>
      </c>
      <c r="C1039" s="6" t="inlineStr">
        <is>
          <t>20/02/2026</t>
        </is>
      </c>
      <c r="D1039" s="6" t="inlineStr">
        <is>
          <t>CONTENEDOR</t>
        </is>
      </c>
      <c r="E1039" s="6" t="inlineStr">
        <is>
          <t>CONTENEDORES Y EXCAVACIONES ASPE SL.</t>
        </is>
      </c>
      <c r="F1039" s="6" t="inlineStr">
        <is>
          <t>IMPUTADO</t>
        </is>
      </c>
      <c r="G1039" s="4" t="n">
        <v>320</v>
      </c>
    </row>
    <row r="1040">
      <c r="A1040" s="6" t="inlineStr">
        <is>
          <t>PRESUPUESTO OBRA BARINAS - JUANPE Y TRINI (ADMINISTRACION)</t>
        </is>
      </c>
      <c r="B1040" s="6" t="inlineStr">
        <is>
          <t>1.261,00</t>
        </is>
      </c>
      <c r="C1040" s="6" t="inlineStr">
        <is>
          <t>15/04/2026</t>
        </is>
      </c>
      <c r="D1040" s="6" t="inlineStr">
        <is>
          <t>TEJA BLANCA</t>
        </is>
      </c>
      <c r="E1040" s="6" t="inlineStr">
        <is>
          <t>MATERIALES DE CONSTRUCCION ALIAGA SL</t>
        </is>
      </c>
      <c r="F1040" s="6" t="inlineStr">
        <is>
          <t>IMPUTADO</t>
        </is>
      </c>
      <c r="G1040" s="4" t="n">
        <v>299.5</v>
      </c>
    </row>
    <row r="1041">
      <c r="A1041" s="6" t="inlineStr">
        <is>
          <t>PRESUPUESTO OBRA BARINAS - JUANPE Y TRINI (ADMINISTRACION)</t>
        </is>
      </c>
      <c r="B1041" s="6" t="inlineStr">
        <is>
          <t>1.519,00</t>
        </is>
      </c>
      <c r="C1041" s="6" t="inlineStr">
        <is>
          <t>05/05/2026</t>
        </is>
      </c>
      <c r="D1041" s="6" t="inlineStr">
        <is>
          <t>GRUA</t>
        </is>
      </c>
      <c r="E1041" s="6" t="inlineStr">
        <is>
          <t>GRUAS Y MAQUINARIA PETREL SL</t>
        </is>
      </c>
      <c r="F1041" s="6" t="inlineStr">
        <is>
          <t>IMPUTADO</t>
        </is>
      </c>
      <c r="G1041" s="4" t="n">
        <v>292.5</v>
      </c>
    </row>
    <row r="1042">
      <c r="A1042" s="6" t="inlineStr">
        <is>
          <t>PRESUPUESTO OBRA BARINAS - JUANPE Y TRINI (ADMINISTRACION)</t>
        </is>
      </c>
      <c r="B1042" s="6" t="inlineStr">
        <is>
          <t>1.182,00</t>
        </is>
      </c>
      <c r="C1042" s="6" t="inlineStr">
        <is>
          <t>31/03/2026</t>
        </is>
      </c>
      <c r="D1042" s="6" t="inlineStr">
        <is>
          <t>COLA CONTACTO - DISOLVENTE</t>
        </is>
      </c>
      <c r="E1042" s="6" t="inlineStr">
        <is>
          <t>LEROY MERLIN ESPAÑA SL</t>
        </is>
      </c>
      <c r="F1042" s="6" t="inlineStr">
        <is>
          <t>IMPUTADO</t>
        </is>
      </c>
      <c r="G1042" s="4" t="n">
        <v>279.83</v>
      </c>
    </row>
    <row r="1043">
      <c r="A1043" s="6" t="inlineStr">
        <is>
          <t>PRESUPUESTO OBRA BARINAS - JUANPE Y TRINI (ADMINISTRACION)</t>
        </is>
      </c>
      <c r="B1043" s="6" t="inlineStr">
        <is>
          <t>1.203,00</t>
        </is>
      </c>
      <c r="C1043" s="6" t="inlineStr">
        <is>
          <t>08/04/2026</t>
        </is>
      </c>
      <c r="D1043" s="6" t="inlineStr">
        <is>
          <t>COLA AISLAMIENTO - COLA CONTACTO</t>
        </is>
      </c>
      <c r="E1043" s="6" t="inlineStr">
        <is>
          <t>LEROY MERLIN ESPAÑA SL</t>
        </is>
      </c>
      <c r="F1043" s="6" t="inlineStr">
        <is>
          <t>IMPUTADO</t>
        </is>
      </c>
      <c r="G1043" s="4" t="n">
        <v>251.87</v>
      </c>
    </row>
    <row r="1044">
      <c r="A1044" s="6" t="inlineStr">
        <is>
          <t>PRESUPUESTO OBRA BARINAS - JUANPE Y TRINI (ADMINISTRACION)</t>
        </is>
      </c>
      <c r="B1044" s="6" t="inlineStr">
        <is>
          <t>1.266,00</t>
        </is>
      </c>
      <c r="C1044" s="6" t="inlineStr">
        <is>
          <t>15/04/2026</t>
        </is>
      </c>
      <c r="D1044" s="6" t="inlineStr">
        <is>
          <t>RASTREL #montar tejado</t>
        </is>
      </c>
      <c r="E1044" s="6" t="inlineStr">
        <is>
          <t>MADERAS RIO SEGURA ALQUILERES SL</t>
        </is>
      </c>
      <c r="F1044" s="6" t="inlineStr">
        <is>
          <t>IMPUTADO</t>
        </is>
      </c>
      <c r="G1044" s="4" t="n">
        <v>248.4</v>
      </c>
    </row>
    <row r="1045">
      <c r="A1045" s="6" t="inlineStr">
        <is>
          <t>PRESUPUESTO OBRA BARINAS - JUANPE Y TRINI (ADMINISTRACION)</t>
        </is>
      </c>
      <c r="B1045" s="6" t="inlineStr">
        <is>
          <t>1.188,00</t>
        </is>
      </c>
      <c r="C1045" s="6" t="inlineStr">
        <is>
          <t>31/03/2026</t>
        </is>
      </c>
      <c r="D1045" s="6" t="inlineStr">
        <is>
          <t>MATERIAL OBRA</t>
        </is>
      </c>
      <c r="E1045" s="6" t="inlineStr">
        <is>
          <t>CONSYDECOR SL</t>
        </is>
      </c>
      <c r="F1045" s="6" t="inlineStr">
        <is>
          <t>IMPUTADO</t>
        </is>
      </c>
      <c r="G1045" s="4" t="n">
        <v>156.36</v>
      </c>
    </row>
    <row r="1046">
      <c r="A1046" s="6" t="inlineStr">
        <is>
          <t>PRESUPUESTO OBRA BARINAS - JUANPE Y TRINI (ADMINISTRACION)</t>
        </is>
      </c>
      <c r="B1046" s="6" t="inlineStr">
        <is>
          <t>892,00</t>
        </is>
      </c>
      <c r="C1046" s="6" t="inlineStr">
        <is>
          <t>03/03/2026</t>
        </is>
      </c>
      <c r="D1046" s="6" t="inlineStr">
        <is>
          <t>TABLONES TEJADO</t>
        </is>
      </c>
      <c r="E1046" s="6" t="inlineStr">
        <is>
          <t>MADERAS RIO SEGURA ALQUILERES SL</t>
        </is>
      </c>
      <c r="F1046" s="6" t="inlineStr">
        <is>
          <t>IMPUTADO</t>
        </is>
      </c>
      <c r="G1046" s="4" t="n">
        <v>127.8</v>
      </c>
    </row>
    <row r="1047">
      <c r="A1047" s="6" t="inlineStr">
        <is>
          <t>PRESUPUESTO OBRA BARINAS - JUANPE Y TRINI (ADMINISTRACION)</t>
        </is>
      </c>
      <c r="B1047" s="6" t="inlineStr">
        <is>
          <t>1.246,00</t>
        </is>
      </c>
      <c r="C1047" s="6" t="inlineStr">
        <is>
          <t>14/04/2026</t>
        </is>
      </c>
      <c r="D1047" s="6" t="inlineStr">
        <is>
          <t>COLA TABLERO</t>
        </is>
      </c>
      <c r="E1047" s="6" t="inlineStr">
        <is>
          <t>LEROY MERLIN ESPAÑA SL</t>
        </is>
      </c>
      <c r="F1047" s="6" t="inlineStr">
        <is>
          <t>IMPUTADO</t>
        </is>
      </c>
      <c r="G1047" s="4" t="n">
        <v>84.3</v>
      </c>
    </row>
    <row r="1048">
      <c r="A1048" s="6" t="inlineStr">
        <is>
          <t>PRESUPUESTO OBRA BARINAS - JUANPE Y TRINI (ADMINISTRACION)</t>
        </is>
      </c>
      <c r="B1048" s="6" t="inlineStr">
        <is>
          <t>1.260,00</t>
        </is>
      </c>
      <c r="C1048" s="6" t="inlineStr">
        <is>
          <t>15/04/2026</t>
        </is>
      </c>
      <c r="D1048" s="6" t="inlineStr">
        <is>
          <t>RASTREL #montaje tejado</t>
        </is>
      </c>
      <c r="E1048" s="6" t="inlineStr">
        <is>
          <t>MADERAS RIO SEGURA ALQUILERES SL</t>
        </is>
      </c>
      <c r="F1048" s="6" t="inlineStr">
        <is>
          <t>IMPUTADO</t>
        </is>
      </c>
      <c r="G1048" s="4" t="n">
        <v>49.68</v>
      </c>
    </row>
    <row r="1049">
      <c r="A1049" s="6" t="inlineStr">
        <is>
          <t>PRESUPUESTO OBRA BARINAS - JUANPE Y TRINI (ADMINISTRACION)</t>
        </is>
      </c>
      <c r="B1049" s="6" t="inlineStr">
        <is>
          <t>1.205,00</t>
        </is>
      </c>
      <c r="C1049" s="6" t="inlineStr">
        <is>
          <t>08/04/2026</t>
        </is>
      </c>
      <c r="D1049" s="6" t="inlineStr">
        <is>
          <t>MATERIAL OBRA</t>
        </is>
      </c>
      <c r="E1049" s="6" t="inlineStr">
        <is>
          <t>LEROY MERLIN ESPAÑA SL</t>
        </is>
      </c>
      <c r="F1049" s="6" t="inlineStr">
        <is>
          <t>IMPUTADO</t>
        </is>
      </c>
      <c r="G1049" s="4" t="n">
        <v>36.69</v>
      </c>
    </row>
    <row r="1050">
      <c r="A1050" s="6" t="inlineStr">
        <is>
          <t>PRESUPUESTO OBRA BARINAS - JUANPE Y TRINI (ADMINISTRACION)</t>
        </is>
      </c>
      <c r="B1050" s="6" t="inlineStr">
        <is>
          <t>1.183,00</t>
        </is>
      </c>
      <c r="C1050" s="6" t="inlineStr">
        <is>
          <t>31/03/2026</t>
        </is>
      </c>
      <c r="D1050" s="6" t="inlineStr">
        <is>
          <t>MATERIAL OBRA</t>
        </is>
      </c>
      <c r="E1050" s="6" t="inlineStr">
        <is>
          <t>LEROY MERLIN ESPAÑA SL</t>
        </is>
      </c>
      <c r="F1050" s="6" t="inlineStr">
        <is>
          <t>IMPUTADO</t>
        </is>
      </c>
      <c r="G1050" s="4" t="n">
        <v>34.73</v>
      </c>
    </row>
    <row r="1051">
      <c r="A1051" s="6" t="inlineStr">
        <is>
          <t>PRESUPUESTO OBRA BARINAS - JUANPE Y TRINI (ADMINISTRACION)</t>
        </is>
      </c>
      <c r="B1051" s="6" t="inlineStr">
        <is>
          <t>1.265,00</t>
        </is>
      </c>
      <c r="C1051" s="6" t="inlineStr">
        <is>
          <t>15/04/2026</t>
        </is>
      </c>
      <c r="D1051" s="6" t="inlineStr">
        <is>
          <t>TORNILLERIA #montar tejado</t>
        </is>
      </c>
      <c r="E1051" s="6" t="inlineStr">
        <is>
          <t>ESTABLECIMIENTOS DEMETRIO SL</t>
        </is>
      </c>
      <c r="F1051" s="6" t="inlineStr">
        <is>
          <t>IMPUTADO</t>
        </is>
      </c>
      <c r="G1051" s="4" t="n">
        <v>25.14</v>
      </c>
    </row>
    <row r="1052">
      <c r="A1052" s="6" t="inlineStr">
        <is>
          <t>PROYECTO 4 BASCULAS EN SILOS - Paraje de los Rincones S,N - Poligono 3, parcelas 94 y 113 - Algueña (Alicante)</t>
        </is>
      </c>
      <c r="B1052" s="6" t="inlineStr">
        <is>
          <t>1.841,00</t>
        </is>
      </c>
      <c r="C1052" s="6" t="inlineStr">
        <is>
          <t>24/07/2026</t>
        </is>
      </c>
      <c r="D1052" s="6" t="inlineStr">
        <is>
          <t>SUSCRIPCION NALANDA - GESTION DOCUMENTACION</t>
        </is>
      </c>
      <c r="E1052" s="6" t="inlineStr">
        <is>
          <t>NALANDA GLOBAL SA.</t>
        </is>
      </c>
      <c r="F1052" s="6" t="inlineStr">
        <is>
          <t>IMPUTADO</t>
        </is>
      </c>
      <c r="G1052" s="4" t="n">
        <v>420</v>
      </c>
    </row>
    <row r="1053">
      <c r="A1053" s="6" t="inlineStr">
        <is>
          <t>REFORMA INTERIOR 2 VIVIENDAS EN PISO - C/ CARTAGENA , 59 - MURCIA</t>
        </is>
      </c>
      <c r="B1053" s="6" t="inlineStr">
        <is>
          <t>1.821,00</t>
        </is>
      </c>
      <c r="C1053" s="6" t="inlineStr">
        <is>
          <t>17/07/2026</t>
        </is>
      </c>
      <c r="D1053" s="6" t="inlineStr">
        <is>
          <t>ELECTRICIDAD</t>
        </is>
      </c>
      <c r="E1053" s="6" t="inlineStr"/>
      <c r="F1053" s="6" t="inlineStr">
        <is>
          <t>IMPUTADO</t>
        </is>
      </c>
      <c r="G1053" s="4" t="n">
        <v>956.5</v>
      </c>
    </row>
    <row r="1054">
      <c r="A1054" s="6" t="inlineStr">
        <is>
          <t>REFORMA INTERIOR 2 VIVIENDAS EN PISO - C/ CARTAGENA , 59 - MURCIA</t>
        </is>
      </c>
      <c r="B1054" s="6" t="inlineStr">
        <is>
          <t>1.872,00</t>
        </is>
      </c>
      <c r="C1054" s="6" t="inlineStr">
        <is>
          <t>26/08/2026</t>
        </is>
      </c>
      <c r="D1054" s="6" t="inlineStr">
        <is>
          <t>PRESUPUESTO 641758</t>
        </is>
      </c>
      <c r="E1054" s="6" t="inlineStr">
        <is>
          <t>LEROY MERLIN ESPAÑA SL</t>
        </is>
      </c>
      <c r="F1054" s="6" t="inlineStr">
        <is>
          <t>IMPUTADO</t>
        </is>
      </c>
      <c r="G1054" s="4" t="n">
        <v>947.6</v>
      </c>
    </row>
    <row r="1055">
      <c r="A1055" s="6" t="inlineStr">
        <is>
          <t>REFORMA INTERIOR 2 VIVIENDAS EN PISO - C/ CARTAGENA , 59 - MURCIA</t>
        </is>
      </c>
      <c r="B1055" s="6" t="inlineStr">
        <is>
          <t>1.820,00</t>
        </is>
      </c>
      <c r="C1055" s="6" t="inlineStr">
        <is>
          <t>17/07/2026</t>
        </is>
      </c>
      <c r="D1055" s="6" t="inlineStr">
        <is>
          <t>FONTANERÍA</t>
        </is>
      </c>
      <c r="E1055" s="6" t="inlineStr">
        <is>
          <t>FONTAFIX EAR</t>
        </is>
      </c>
      <c r="F1055" s="6" t="inlineStr">
        <is>
          <t>IMPUTADO</t>
        </is>
      </c>
      <c r="G1055" s="4" t="n">
        <v>877.25</v>
      </c>
    </row>
    <row r="1056">
      <c r="A1056" s="7" t="inlineStr">
        <is>
          <t>TOTAL FACTURAS POR OBRA</t>
        </is>
      </c>
      <c r="B1056" s="7" t="n"/>
      <c r="C1056" s="7" t="n"/>
      <c r="D1056" s="7" t="n"/>
      <c r="E1056" s="7" t="n"/>
      <c r="F1056" s="7" t="n"/>
      <c r="G1056" s="8">
        <f>SUM(G4:G1055)</f>
        <v/>
      </c>
    </row>
  </sheetData>
  <autoFilter ref="A3:G1055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22" customWidth="1" min="4" max="4"/>
  </cols>
  <sheetData>
    <row r="1">
      <c r="A1" s="1" t="inlineStr">
        <is>
          <t>PRORRATEO DE GASTOS COMUNES</t>
        </is>
      </c>
    </row>
    <row r="3">
      <c r="A3" s="2" t="inlineStr">
        <is>
          <t>Formula: (% Certificacion del proyecto / Total) x Total Gastos Comunes</t>
        </is>
      </c>
    </row>
    <row r="5">
      <c r="A5" s="5" t="inlineStr">
        <is>
          <t>Proyecto</t>
        </is>
      </c>
      <c r="B5" s="5" t="inlineStr">
        <is>
          <t>Certificacion (EUR)</t>
        </is>
      </c>
      <c r="C5" s="5" t="inlineStr">
        <is>
          <t>% del Total</t>
        </is>
      </c>
      <c r="D5" s="5" t="inlineStr">
        <is>
          <t>Gasto Prorrateado (EUR)</t>
        </is>
      </c>
    </row>
    <row r="6">
      <c r="A6" s="6">
        <f>'Certificaciones'!B4</f>
        <v/>
      </c>
      <c r="B6" s="4">
        <f>'Certificaciones'!C4</f>
        <v/>
      </c>
      <c r="C6" s="6">
        <f>'Certificaciones'!D4</f>
        <v/>
      </c>
      <c r="D6" s="4">
        <f>C6*'Resumen'!B7</f>
        <v/>
      </c>
    </row>
    <row r="7">
      <c r="A7" s="6">
        <f>'Certificaciones'!B5</f>
        <v/>
      </c>
      <c r="B7" s="4">
        <f>'Certificaciones'!C5</f>
        <v/>
      </c>
      <c r="C7" s="6">
        <f>'Certificaciones'!D5</f>
        <v/>
      </c>
      <c r="D7" s="4">
        <f>C7*'Resumen'!B7</f>
        <v/>
      </c>
    </row>
    <row r="8">
      <c r="A8" s="6">
        <f>'Certificaciones'!B6</f>
        <v/>
      </c>
      <c r="B8" s="4">
        <f>'Certificaciones'!C6</f>
        <v/>
      </c>
      <c r="C8" s="6">
        <f>'Certificaciones'!D6</f>
        <v/>
      </c>
      <c r="D8" s="4">
        <f>C8*'Resumen'!B7</f>
        <v/>
      </c>
    </row>
    <row r="9">
      <c r="A9" s="6">
        <f>'Certificaciones'!B7</f>
        <v/>
      </c>
      <c r="B9" s="4">
        <f>'Certificaciones'!C7</f>
        <v/>
      </c>
      <c r="C9" s="6">
        <f>'Certificaciones'!D7</f>
        <v/>
      </c>
      <c r="D9" s="4">
        <f>C9*'Resumen'!B7</f>
        <v/>
      </c>
    </row>
    <row r="10">
      <c r="A10" s="6">
        <f>'Certificaciones'!B8</f>
        <v/>
      </c>
      <c r="B10" s="4">
        <f>'Certificaciones'!C8</f>
        <v/>
      </c>
      <c r="C10" s="6">
        <f>'Certificaciones'!D8</f>
        <v/>
      </c>
      <c r="D10" s="4">
        <f>C10*'Resumen'!B7</f>
        <v/>
      </c>
    </row>
    <row r="11">
      <c r="A11" s="6">
        <f>'Certificaciones'!B9</f>
        <v/>
      </c>
      <c r="B11" s="4">
        <f>'Certificaciones'!C9</f>
        <v/>
      </c>
      <c r="C11" s="6">
        <f>'Certificaciones'!D9</f>
        <v/>
      </c>
      <c r="D11" s="4">
        <f>C11*'Resumen'!B7</f>
        <v/>
      </c>
    </row>
    <row r="12">
      <c r="A12" s="6">
        <f>'Certificaciones'!B10</f>
        <v/>
      </c>
      <c r="B12" s="4">
        <f>'Certificaciones'!C10</f>
        <v/>
      </c>
      <c r="C12" s="6">
        <f>'Certificaciones'!D10</f>
        <v/>
      </c>
      <c r="D12" s="4">
        <f>C12*'Resumen'!B7</f>
        <v/>
      </c>
    </row>
    <row r="13">
      <c r="A13" s="6">
        <f>'Certificaciones'!B11</f>
        <v/>
      </c>
      <c r="B13" s="4">
        <f>'Certificaciones'!C11</f>
        <v/>
      </c>
      <c r="C13" s="6">
        <f>'Certificaciones'!D11</f>
        <v/>
      </c>
      <c r="D13" s="4">
        <f>C13*'Resumen'!B7</f>
        <v/>
      </c>
    </row>
    <row r="14">
      <c r="A14" s="6">
        <f>'Certificaciones'!B12</f>
        <v/>
      </c>
      <c r="B14" s="4">
        <f>'Certificaciones'!C12</f>
        <v/>
      </c>
      <c r="C14" s="6">
        <f>'Certificaciones'!D12</f>
        <v/>
      </c>
      <c r="D14" s="4">
        <f>C14*'Resumen'!B7</f>
        <v/>
      </c>
    </row>
    <row r="15">
      <c r="A15" s="6">
        <f>'Certificaciones'!B13</f>
        <v/>
      </c>
      <c r="B15" s="4">
        <f>'Certificaciones'!C13</f>
        <v/>
      </c>
      <c r="C15" s="6">
        <f>'Certificaciones'!D13</f>
        <v/>
      </c>
      <c r="D15" s="4">
        <f>C15*'Resumen'!B7</f>
        <v/>
      </c>
    </row>
    <row r="16">
      <c r="A16" s="6">
        <f>'Certificaciones'!B14</f>
        <v/>
      </c>
      <c r="B16" s="4">
        <f>'Certificaciones'!C14</f>
        <v/>
      </c>
      <c r="C16" s="6">
        <f>'Certificaciones'!D14</f>
        <v/>
      </c>
      <c r="D16" s="4">
        <f>C16*'Resumen'!B7</f>
        <v/>
      </c>
    </row>
    <row r="17">
      <c r="A17" s="6">
        <f>'Certificaciones'!B15</f>
        <v/>
      </c>
      <c r="B17" s="4">
        <f>'Certificaciones'!C15</f>
        <v/>
      </c>
      <c r="C17" s="6">
        <f>'Certificaciones'!D15</f>
        <v/>
      </c>
      <c r="D17" s="4">
        <f>C17*'Resumen'!B7</f>
        <v/>
      </c>
    </row>
    <row r="18">
      <c r="A18" s="6">
        <f>'Certificaciones'!B16</f>
        <v/>
      </c>
      <c r="B18" s="4">
        <f>'Certificaciones'!C16</f>
        <v/>
      </c>
      <c r="C18" s="6">
        <f>'Certificaciones'!D16</f>
        <v/>
      </c>
      <c r="D18" s="4">
        <f>C18*'Resumen'!B7</f>
        <v/>
      </c>
    </row>
    <row r="19">
      <c r="A19" s="6">
        <f>'Certificaciones'!B17</f>
        <v/>
      </c>
      <c r="B19" s="4">
        <f>'Certificaciones'!C17</f>
        <v/>
      </c>
      <c r="C19" s="6">
        <f>'Certificaciones'!D17</f>
        <v/>
      </c>
      <c r="D19" s="4">
        <f>C19*'Resumen'!B7</f>
        <v/>
      </c>
    </row>
    <row r="20">
      <c r="A20" s="6">
        <f>'Certificaciones'!B18</f>
        <v/>
      </c>
      <c r="B20" s="4">
        <f>'Certificaciones'!C18</f>
        <v/>
      </c>
      <c r="C20" s="6">
        <f>'Certificaciones'!D18</f>
        <v/>
      </c>
      <c r="D20" s="4">
        <f>C20*'Resumen'!B7</f>
        <v/>
      </c>
    </row>
    <row r="21">
      <c r="A21" s="6">
        <f>'Certificaciones'!B19</f>
        <v/>
      </c>
      <c r="B21" s="4">
        <f>'Certificaciones'!C19</f>
        <v/>
      </c>
      <c r="C21" s="6">
        <f>'Certificaciones'!D19</f>
        <v/>
      </c>
      <c r="D21" s="4">
        <f>C21*'Resumen'!B7</f>
        <v/>
      </c>
    </row>
    <row r="22">
      <c r="A22" s="6">
        <f>'Certificaciones'!B20</f>
        <v/>
      </c>
      <c r="B22" s="4">
        <f>'Certificaciones'!C20</f>
        <v/>
      </c>
      <c r="C22" s="6">
        <f>'Certificaciones'!D20</f>
        <v/>
      </c>
      <c r="D22" s="4">
        <f>C22*'Resumen'!B7</f>
        <v/>
      </c>
    </row>
    <row r="23">
      <c r="A23" s="6">
        <f>'Certificaciones'!B21</f>
        <v/>
      </c>
      <c r="B23" s="4">
        <f>'Certificaciones'!C21</f>
        <v/>
      </c>
      <c r="C23" s="6">
        <f>'Certificaciones'!D21</f>
        <v/>
      </c>
      <c r="D23" s="4">
        <f>C23*'Resumen'!B7</f>
        <v/>
      </c>
    </row>
    <row r="24">
      <c r="A24" s="6">
        <f>'Certificaciones'!B22</f>
        <v/>
      </c>
      <c r="B24" s="4">
        <f>'Certificaciones'!C22</f>
        <v/>
      </c>
      <c r="C24" s="6">
        <f>'Certificaciones'!D22</f>
        <v/>
      </c>
      <c r="D24" s="4">
        <f>C24*'Resumen'!B7</f>
        <v/>
      </c>
    </row>
    <row r="25">
      <c r="A25" s="6">
        <f>'Certificaciones'!B23</f>
        <v/>
      </c>
      <c r="B25" s="4">
        <f>'Certificaciones'!C23</f>
        <v/>
      </c>
      <c r="C25" s="6">
        <f>'Certificaciones'!D23</f>
        <v/>
      </c>
      <c r="D25" s="4">
        <f>C25*'Resumen'!B7</f>
        <v/>
      </c>
    </row>
    <row r="26">
      <c r="A26" s="7" t="inlineStr">
        <is>
          <t>TOTAL</t>
        </is>
      </c>
      <c r="B26" s="8">
        <f>SUM(B6:B25)</f>
        <v/>
      </c>
      <c r="C26" s="7">
        <f>SUM(C6:C25)</f>
        <v/>
      </c>
      <c r="D26" s="8">
        <f>SUM(D6:D25)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2026-09-03T13:02:10Z</dcterms:created>
  <dcterms:modified xmlns:dcterms="http://purl.org/dc/terms/" xmlns:xsi="http://www.w3.org/2001/XMLSchema-instance" xsi:type="dcterms:W3CDTF">2026-09-03T13:02:11Z</dcterms:modified>
</cp:coreProperties>
</file>