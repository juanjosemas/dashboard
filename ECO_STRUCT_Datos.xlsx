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Obra'!$A$3:$G$495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Generales'!E262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Obra'!D31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6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(258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1.544,00</t>
        </is>
      </c>
      <c r="B126" s="6" t="inlineStr">
        <is>
          <t>20/04/2026</t>
        </is>
      </c>
      <c r="C126" s="6" t="inlineStr">
        <is>
          <t>REPOSTAJE</t>
        </is>
      </c>
      <c r="D126" s="6" t="inlineStr">
        <is>
          <t>EUROBAMAS SL</t>
        </is>
      </c>
      <c r="E126" s="4" t="n">
        <v>57.85</v>
      </c>
      <c r="F126" s="6" t="n"/>
    </row>
    <row r="127">
      <c r="A127" s="6" t="inlineStr">
        <is>
          <t>1.543,00</t>
        </is>
      </c>
      <c r="B127" s="6" t="inlineStr">
        <is>
          <t>20/04/2026</t>
        </is>
      </c>
      <c r="C127" s="6" t="inlineStr">
        <is>
          <t>REPOSTAJE</t>
        </is>
      </c>
      <c r="D127" s="6" t="inlineStr">
        <is>
          <t>EUROBAMAS SL</t>
        </is>
      </c>
      <c r="E127" s="4" t="n">
        <v>33.73</v>
      </c>
      <c r="F127" s="6" t="n"/>
    </row>
    <row r="128">
      <c r="A128" s="6" t="inlineStr">
        <is>
          <t>1.542,00</t>
        </is>
      </c>
      <c r="B128" s="6" t="inlineStr">
        <is>
          <t>20/04/2026</t>
        </is>
      </c>
      <c r="C128" s="6" t="inlineStr">
        <is>
          <t>MATERIAL</t>
        </is>
      </c>
      <c r="D128" s="6" t="inlineStr">
        <is>
          <t>LEROY MERLIN ESPAÑA SL</t>
        </is>
      </c>
      <c r="E128" s="4" t="n">
        <v>89.83</v>
      </c>
      <c r="F128" s="6" t="n"/>
    </row>
    <row r="129">
      <c r="A129" s="6" t="inlineStr">
        <is>
          <t>1.540,00</t>
        </is>
      </c>
      <c r="B129" s="6" t="inlineStr">
        <is>
          <t>28/04/2026</t>
        </is>
      </c>
      <c r="C129" s="6" t="inlineStr">
        <is>
          <t>RADIAL ANGULAR</t>
        </is>
      </c>
      <c r="D129" s="6" t="inlineStr">
        <is>
          <t>WURTH ESPAÑA SA</t>
        </is>
      </c>
      <c r="E129" s="4" t="n">
        <v>511.2</v>
      </c>
      <c r="F129" s="6" t="n"/>
    </row>
    <row r="130">
      <c r="A130" s="6" t="inlineStr">
        <is>
          <t>1.535,00</t>
        </is>
      </c>
      <c r="B130" s="6" t="inlineStr">
        <is>
          <t>30/04/2026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76.16</v>
      </c>
      <c r="F130" s="6" t="n"/>
    </row>
    <row r="131">
      <c r="A131" s="6" t="inlineStr">
        <is>
          <t>1.523,00</t>
        </is>
      </c>
      <c r="B131" s="6" t="inlineStr">
        <is>
          <t>22/04/2026</t>
        </is>
      </c>
      <c r="C131" s="6" t="inlineStr">
        <is>
          <t>COMPRA IKEA</t>
        </is>
      </c>
      <c r="D131" s="6" t="inlineStr">
        <is>
          <t>IKEA IBERICA SAU</t>
        </is>
      </c>
      <c r="E131" s="4" t="n">
        <v>52.03</v>
      </c>
      <c r="F131" s="6" t="n"/>
    </row>
    <row r="132">
      <c r="A132" s="6" t="inlineStr">
        <is>
          <t>1.517,00</t>
        </is>
      </c>
      <c r="B132" s="6" t="inlineStr">
        <is>
          <t>30/04/2026</t>
        </is>
      </c>
      <c r="C132" s="6" t="inlineStr">
        <is>
          <t>PLENOIL ABRIL</t>
        </is>
      </c>
      <c r="D132" s="6" t="inlineStr">
        <is>
          <t>PLENOIL SL.</t>
        </is>
      </c>
      <c r="E132" s="4" t="n">
        <v>1729.15</v>
      </c>
      <c r="F132" s="6" t="n"/>
    </row>
    <row r="133">
      <c r="A133" s="6" t="inlineStr">
        <is>
          <t>1.516,00</t>
        </is>
      </c>
      <c r="B133" s="6" t="inlineStr">
        <is>
          <t>04/05/2026</t>
        </is>
      </c>
      <c r="C133" s="6" t="inlineStr">
        <is>
          <t>ALQUILER NAVE ABRIL</t>
        </is>
      </c>
      <c r="D133" s="6" t="inlineStr">
        <is>
          <t>PINKY VELVET INTERNATIONAL SL</t>
        </is>
      </c>
      <c r="E133" s="4" t="n">
        <v>350</v>
      </c>
      <c r="F133" s="6" t="n"/>
    </row>
    <row r="134">
      <c r="A134" s="6" t="inlineStr">
        <is>
          <t>1.515,00</t>
        </is>
      </c>
      <c r="B134" s="6" t="inlineStr">
        <is>
          <t>04/05/2026</t>
        </is>
      </c>
      <c r="C134" s="6" t="inlineStr">
        <is>
          <t>ROPA LABORAL</t>
        </is>
      </c>
      <c r="D134" s="6" t="inlineStr">
        <is>
          <t>Mª CARMEN PRIETO AVELLAN</t>
        </is>
      </c>
      <c r="E134" s="4" t="n">
        <v>833.5</v>
      </c>
      <c r="F134" s="6" t="n"/>
    </row>
    <row r="135">
      <c r="A135" s="6" t="inlineStr">
        <is>
          <t>1.514,00</t>
        </is>
      </c>
      <c r="B135" s="6" t="inlineStr">
        <is>
          <t>01/04/2026</t>
        </is>
      </c>
      <c r="C135" s="6" t="inlineStr">
        <is>
          <t>COMPRAVENTA PARTICIPACIONES SOCIALES</t>
        </is>
      </c>
      <c r="D135" s="6" t="inlineStr">
        <is>
          <t>ALEJANDRO PEREZ MARTINEZ</t>
        </is>
      </c>
      <c r="E135" s="4" t="n">
        <v>381.09</v>
      </c>
      <c r="F135" s="6" t="n"/>
    </row>
    <row r="136">
      <c r="A136" s="6" t="inlineStr">
        <is>
          <t>1.513,00</t>
        </is>
      </c>
      <c r="B136" s="6" t="inlineStr">
        <is>
          <t>15/04/2026</t>
        </is>
      </c>
      <c r="C136" s="6" t="inlineStr">
        <is>
          <t>REGISTRO MERCANTIL COMPRA EMPRESA</t>
        </is>
      </c>
      <c r="D136" s="6" t="inlineStr">
        <is>
          <t>REGISTRO MERCANTIL DE ALICANTE, S.C.</t>
        </is>
      </c>
      <c r="E136" s="4" t="n">
        <v>97.81</v>
      </c>
      <c r="F136" s="6" t="n"/>
    </row>
    <row r="137">
      <c r="A137" s="6" t="inlineStr">
        <is>
          <t>1.512,00</t>
        </is>
      </c>
      <c r="B137" s="6" t="inlineStr">
        <is>
          <t>15/04/2026</t>
        </is>
      </c>
      <c r="C137" s="6" t="inlineStr">
        <is>
          <t>PUBLICACION BORME</t>
        </is>
      </c>
      <c r="D137" s="6" t="inlineStr"/>
      <c r="E137" s="4" t="n">
        <v>28.72</v>
      </c>
      <c r="F137" s="6" t="n"/>
    </row>
    <row r="138">
      <c r="A138" s="6" t="inlineStr">
        <is>
          <t>1.511,00</t>
        </is>
      </c>
      <c r="B138" s="6" t="inlineStr">
        <is>
          <t>19/02/2026</t>
        </is>
      </c>
      <c r="C138" s="6" t="inlineStr">
        <is>
          <t>COMPRA AMAZON</t>
        </is>
      </c>
      <c r="D138" s="6" t="inlineStr">
        <is>
          <t>AMAZON EU SARL LUXEMBURGO</t>
        </is>
      </c>
      <c r="E138" s="4" t="n">
        <v>80.08</v>
      </c>
      <c r="F138" s="6" t="n"/>
    </row>
    <row r="139">
      <c r="A139" s="6" t="inlineStr">
        <is>
          <t>1.507,00</t>
        </is>
      </c>
      <c r="B139" s="6" t="inlineStr">
        <is>
          <t>15/04/2026</t>
        </is>
      </c>
      <c r="C139" s="6" t="inlineStr">
        <is>
          <t>REPOSTAJE</t>
        </is>
      </c>
      <c r="D139" s="6" t="inlineStr">
        <is>
          <t>EUROBAMAS SL</t>
        </is>
      </c>
      <c r="E139" s="4" t="n">
        <v>60.33</v>
      </c>
      <c r="F139" s="6" t="n"/>
    </row>
    <row r="140">
      <c r="A140" s="6" t="inlineStr">
        <is>
          <t>1.506,00</t>
        </is>
      </c>
      <c r="B140" s="6" t="inlineStr">
        <is>
          <t>15/04/2026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45.83</v>
      </c>
      <c r="F140" s="6" t="n"/>
    </row>
    <row r="141">
      <c r="A141" s="6" t="inlineStr">
        <is>
          <t>1.503,00</t>
        </is>
      </c>
      <c r="B141" s="6" t="inlineStr">
        <is>
          <t>16/04/2026</t>
        </is>
      </c>
      <c r="C141" s="6" t="inlineStr">
        <is>
          <t>REPOSTAJE</t>
        </is>
      </c>
      <c r="D141" s="6" t="inlineStr">
        <is>
          <t>NOVELDIESEL SL</t>
        </is>
      </c>
      <c r="E141" s="4" t="n">
        <v>87.26000000000001</v>
      </c>
      <c r="F141" s="6" t="n"/>
    </row>
    <row r="142">
      <c r="A142" s="6" t="inlineStr">
        <is>
          <t>1.502,00</t>
        </is>
      </c>
      <c r="B142" s="6" t="inlineStr">
        <is>
          <t>22/04/2026</t>
        </is>
      </c>
      <c r="C142" s="6" t="inlineStr">
        <is>
          <t>REPOSTAJE</t>
        </is>
      </c>
      <c r="D142" s="6" t="inlineStr">
        <is>
          <t>E.S. PINOSO S.L.</t>
        </is>
      </c>
      <c r="E142" s="4" t="n">
        <v>71.04000000000001</v>
      </c>
      <c r="F142" s="6" t="n"/>
    </row>
    <row r="143">
      <c r="A143" s="6" t="inlineStr">
        <is>
          <t>1.501,00</t>
        </is>
      </c>
      <c r="B143" s="6" t="inlineStr">
        <is>
          <t>23/04/2026</t>
        </is>
      </c>
      <c r="C143" s="6" t="inlineStr">
        <is>
          <t>DIGI MARZO-ABRIL</t>
        </is>
      </c>
      <c r="D143" s="6" t="inlineStr">
        <is>
          <t>DIGI SPAIN TELECOM SL</t>
        </is>
      </c>
      <c r="E143" s="4" t="n">
        <v>6.45</v>
      </c>
      <c r="F143" s="6" t="n"/>
    </row>
    <row r="144">
      <c r="A144" s="6" t="inlineStr">
        <is>
          <t>1.498,00</t>
        </is>
      </c>
      <c r="B144" s="6" t="inlineStr">
        <is>
          <t>25/04/2026</t>
        </is>
      </c>
      <c r="C144" s="6" t="inlineStr">
        <is>
          <t>FONTANERO</t>
        </is>
      </c>
      <c r="D144" s="6" t="inlineStr">
        <is>
          <t>JOSE ANTONIO REYES PACHECO</t>
        </is>
      </c>
      <c r="E144" s="4" t="n">
        <v>195</v>
      </c>
      <c r="F144" s="6" t="n"/>
    </row>
    <row r="145">
      <c r="A145" s="6" t="inlineStr">
        <is>
          <t>1.497,00</t>
        </is>
      </c>
      <c r="B145" s="6" t="inlineStr">
        <is>
          <t>28/04/2026</t>
        </is>
      </c>
      <c r="C145" s="6" t="inlineStr">
        <is>
          <t>HONORARIOS</t>
        </is>
      </c>
      <c r="D145" s="6" t="inlineStr">
        <is>
          <t>INMOCEYLAN SL.</t>
        </is>
      </c>
      <c r="E145" s="4" t="n">
        <v>4000</v>
      </c>
      <c r="F145" s="6" t="n"/>
    </row>
    <row r="146">
      <c r="A146" s="6" t="inlineStr">
        <is>
          <t>1.496,00</t>
        </is>
      </c>
      <c r="B146" s="6" t="inlineStr">
        <is>
          <t>07/04/2026</t>
        </is>
      </c>
      <c r="C146" s="6" t="inlineStr">
        <is>
          <t>NATURGY MARZO</t>
        </is>
      </c>
      <c r="D146" s="6" t="inlineStr"/>
      <c r="E146" s="4" t="n">
        <v>51.16</v>
      </c>
      <c r="F146" s="6" t="n"/>
    </row>
    <row r="147">
      <c r="A147" s="6" t="inlineStr">
        <is>
          <t>1.495,00</t>
        </is>
      </c>
      <c r="B147" s="6" t="inlineStr">
        <is>
          <t>15/04/2026</t>
        </is>
      </c>
      <c r="C147" s="6" t="inlineStr">
        <is>
          <t>MATERIAL</t>
        </is>
      </c>
      <c r="D147" s="6" t="inlineStr">
        <is>
          <t>MATERIALES DE CONSTRUCCION LOS CAPITOS SL.</t>
        </is>
      </c>
      <c r="E147" s="4" t="n">
        <v>26.36</v>
      </c>
      <c r="F147" s="6" t="n"/>
    </row>
    <row r="148">
      <c r="A148" s="6" t="inlineStr">
        <is>
          <t>1.493,00</t>
        </is>
      </c>
      <c r="B148" s="6" t="inlineStr">
        <is>
          <t>26/04/2026</t>
        </is>
      </c>
      <c r="C148" s="6" t="inlineStr">
        <is>
          <t>COMPRA VENTILADORES</t>
        </is>
      </c>
      <c r="D148" s="6" t="inlineStr">
        <is>
          <t>INDEPSALE TECHNOLOGY LIMITED</t>
        </is>
      </c>
      <c r="E148" s="4" t="n">
        <v>564.22</v>
      </c>
      <c r="F148" s="6" t="n"/>
    </row>
    <row r="149">
      <c r="A149" s="6" t="inlineStr">
        <is>
          <t>1.280,00</t>
        </is>
      </c>
      <c r="B149" s="6" t="inlineStr">
        <is>
          <t>16/04/2026</t>
        </is>
      </c>
      <c r="C149" s="6" t="inlineStr">
        <is>
          <t>DISCO DIAMANTE MINI</t>
        </is>
      </c>
      <c r="D149" s="6" t="inlineStr">
        <is>
          <t>WURTH ESPAÑA SA</t>
        </is>
      </c>
      <c r="E149" s="4" t="n">
        <v>170.4</v>
      </c>
      <c r="F149" s="6" t="n"/>
    </row>
    <row r="150">
      <c r="A150" s="6" t="inlineStr">
        <is>
          <t>1.274,00</t>
        </is>
      </c>
      <c r="B150" s="6" t="inlineStr">
        <is>
          <t>05/04/2026</t>
        </is>
      </c>
      <c r="C150" s="6" t="inlineStr">
        <is>
          <t>JAZZTEL MARZ</t>
        </is>
      </c>
      <c r="D150" s="6" t="inlineStr">
        <is>
          <t>ORANGE ESPAGNE SAU.</t>
        </is>
      </c>
      <c r="E150" s="4" t="n">
        <v>31.66</v>
      </c>
      <c r="F150" s="6" t="n"/>
    </row>
    <row r="151">
      <c r="A151" s="6" t="inlineStr">
        <is>
          <t>1.271,00</t>
        </is>
      </c>
      <c r="B151" s="6" t="inlineStr">
        <is>
          <t>08/04/2026</t>
        </is>
      </c>
      <c r="C151" s="6" t="inlineStr">
        <is>
          <t>REPOSTAJE</t>
        </is>
      </c>
      <c r="D151" s="6" t="inlineStr">
        <is>
          <t>E.S. PINOSO S.L.</t>
        </is>
      </c>
      <c r="E151" s="4" t="n">
        <v>69.08</v>
      </c>
      <c r="F151" s="6" t="n"/>
    </row>
    <row r="152">
      <c r="A152" s="6" t="inlineStr">
        <is>
          <t>1.270,00</t>
        </is>
      </c>
      <c r="B152" s="6" t="inlineStr">
        <is>
          <t>08/04/2026</t>
        </is>
      </c>
      <c r="C152" s="6" t="inlineStr">
        <is>
          <t>CONECTA 3 MARZO</t>
        </is>
      </c>
      <c r="D152" s="6" t="inlineStr"/>
      <c r="E152" s="4" t="n">
        <v>44.66</v>
      </c>
      <c r="F152" s="6" t="n"/>
    </row>
    <row r="153">
      <c r="A153" s="6" t="inlineStr">
        <is>
          <t>1.264,00</t>
        </is>
      </c>
      <c r="B153" s="6" t="inlineStr">
        <is>
          <t>10/04/2026</t>
        </is>
      </c>
      <c r="C153" s="6" t="inlineStr">
        <is>
          <t>REPOSTAJE</t>
        </is>
      </c>
      <c r="D153" s="6" t="inlineStr">
        <is>
          <t>REPSOL SOLUCIONES ENERGETICAS SA.</t>
        </is>
      </c>
      <c r="E153" s="4" t="n">
        <v>72.34</v>
      </c>
      <c r="F153" s="6" t="n"/>
    </row>
    <row r="154">
      <c r="A154" s="6" t="inlineStr">
        <is>
          <t>1.257,00</t>
        </is>
      </c>
      <c r="B154" s="6" t="inlineStr">
        <is>
          <t>14/04/2026</t>
        </is>
      </c>
      <c r="C154" s="6" t="inlineStr">
        <is>
          <t>REPOSTAJE</t>
        </is>
      </c>
      <c r="D154" s="6" t="inlineStr">
        <is>
          <t>REPSOL SOLUCIONES ENERGETICAS SA.</t>
        </is>
      </c>
      <c r="E154" s="4" t="n">
        <v>75.8</v>
      </c>
      <c r="F154" s="6" t="n"/>
    </row>
    <row r="155">
      <c r="A155" s="6" t="inlineStr">
        <is>
          <t>1.255,00</t>
        </is>
      </c>
      <c r="B155" s="6" t="inlineStr">
        <is>
          <t>31/03/2026</t>
        </is>
      </c>
      <c r="C155" s="6" t="inlineStr">
        <is>
          <t>PLENOIL MARZO</t>
        </is>
      </c>
      <c r="D155" s="6" t="inlineStr">
        <is>
          <t>PLENOIL SL.</t>
        </is>
      </c>
      <c r="E155" s="4" t="n">
        <v>1557.38</v>
      </c>
      <c r="F155" s="6" t="n"/>
    </row>
    <row r="156">
      <c r="A156" s="6" t="inlineStr">
        <is>
          <t>1.254,00</t>
        </is>
      </c>
      <c r="B156" s="6" t="inlineStr">
        <is>
          <t>31/03/2026</t>
        </is>
      </c>
      <c r="C156" s="6" t="inlineStr">
        <is>
          <t>GRUA</t>
        </is>
      </c>
      <c r="D156" s="6" t="inlineStr">
        <is>
          <t>GRUAS Y MAQUINARIA PETREL SL</t>
        </is>
      </c>
      <c r="E156" s="4" t="n">
        <v>480</v>
      </c>
      <c r="F156" s="6" t="n"/>
    </row>
    <row r="157">
      <c r="A157" s="6" t="inlineStr">
        <is>
          <t>1.245,00</t>
        </is>
      </c>
      <c r="B157" s="6" t="inlineStr">
        <is>
          <t>31/03/2026</t>
        </is>
      </c>
      <c r="C157" s="6" t="inlineStr">
        <is>
          <t>ASESORAMIENTO LABORAL MARZO</t>
        </is>
      </c>
      <c r="D157" s="6" t="inlineStr"/>
      <c r="E157" s="4" t="n">
        <v>260</v>
      </c>
      <c r="F157" s="6" t="n"/>
    </row>
    <row r="158">
      <c r="A158" s="6" t="inlineStr">
        <is>
          <t>1.237,00</t>
        </is>
      </c>
      <c r="B158" s="6" t="inlineStr">
        <is>
          <t>27/03/2026</t>
        </is>
      </c>
      <c r="C158" s="6" t="inlineStr">
        <is>
          <t>MATERIAL</t>
        </is>
      </c>
      <c r="D158" s="6" t="inlineStr">
        <is>
          <t>DISTRIBUCION QING YONG SL</t>
        </is>
      </c>
      <c r="E158" s="4" t="n">
        <v>16.86</v>
      </c>
      <c r="F158" s="6" t="n"/>
    </row>
    <row r="159">
      <c r="A159" s="6" t="inlineStr">
        <is>
          <t>1.236,00</t>
        </is>
      </c>
      <c r="B159" s="6" t="inlineStr">
        <is>
          <t>30/03/2026</t>
        </is>
      </c>
      <c r="C159" s="6" t="inlineStr">
        <is>
          <t>MAGUERA Y ADAPTADORES</t>
        </is>
      </c>
      <c r="D159" s="6" t="inlineStr">
        <is>
          <t>COMERFONSA SL</t>
        </is>
      </c>
      <c r="E159" s="4" t="n">
        <v>74.18000000000001</v>
      </c>
      <c r="F159" s="6" t="n"/>
    </row>
    <row r="160">
      <c r="A160" s="6" t="inlineStr">
        <is>
          <t>1.235,00</t>
        </is>
      </c>
      <c r="B160" s="6" t="inlineStr">
        <is>
          <t>30/03/2026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56.86</v>
      </c>
      <c r="F160" s="6" t="n"/>
    </row>
    <row r="161">
      <c r="A161" s="6" t="inlineStr">
        <is>
          <t>1.233,00</t>
        </is>
      </c>
      <c r="B161" s="6" t="inlineStr">
        <is>
          <t>04/04/2026</t>
        </is>
      </c>
      <c r="C161" s="6" t="inlineStr">
        <is>
          <t>REPOSTAJE</t>
        </is>
      </c>
      <c r="D161" s="6" t="inlineStr">
        <is>
          <t>MOEVE RETAIL OPERATIONS S.A.U.</t>
        </is>
      </c>
      <c r="E161" s="4" t="n">
        <v>17.65</v>
      </c>
      <c r="F161" s="6" t="n"/>
    </row>
    <row r="162">
      <c r="A162" s="6" t="inlineStr">
        <is>
          <t>1.232,00</t>
        </is>
      </c>
      <c r="B162" s="6" t="inlineStr">
        <is>
          <t>15/03/2026</t>
        </is>
      </c>
      <c r="C162" s="6" t="inlineStr">
        <is>
          <t>MARCO  + TAPADERA</t>
        </is>
      </c>
      <c r="D162" s="6" t="inlineStr">
        <is>
          <t>SALTOKI ELCHE SL.</t>
        </is>
      </c>
      <c r="E162" s="4" t="n">
        <v>-70.06999999999999</v>
      </c>
      <c r="F162" s="6" t="n"/>
    </row>
    <row r="163">
      <c r="A163" s="6" t="inlineStr">
        <is>
          <t>1.230,00</t>
        </is>
      </c>
      <c r="B163" s="6" t="inlineStr">
        <is>
          <t>15/03/2026</t>
        </is>
      </c>
      <c r="C163" s="6" t="inlineStr">
        <is>
          <t>MARCO  + TAPADERA</t>
        </is>
      </c>
      <c r="D163" s="6" t="inlineStr">
        <is>
          <t>SALTOKI ELCHE SL.</t>
        </is>
      </c>
      <c r="E163" s="4" t="n">
        <v>70.06999999999999</v>
      </c>
      <c r="F163" s="6" t="n"/>
    </row>
    <row r="164">
      <c r="A164" s="6" t="inlineStr">
        <is>
          <t>1.228,00</t>
        </is>
      </c>
      <c r="B164" s="6" t="inlineStr">
        <is>
          <t>23/03/2026</t>
        </is>
      </c>
      <c r="C164" s="6" t="inlineStr">
        <is>
          <t>REPOSTAJE</t>
        </is>
      </c>
      <c r="D164" s="6" t="inlineStr">
        <is>
          <t>EUROBAMAS SL</t>
        </is>
      </c>
      <c r="E164" s="4" t="n">
        <v>76.92</v>
      </c>
      <c r="F164" s="6" t="n"/>
    </row>
    <row r="165">
      <c r="A165" s="6" t="inlineStr">
        <is>
          <t>1.227,00</t>
        </is>
      </c>
      <c r="B165" s="6" t="inlineStr">
        <is>
          <t>23/03/2026</t>
        </is>
      </c>
      <c r="C165" s="6" t="inlineStr">
        <is>
          <t>PALA PLUS MARTILLO</t>
        </is>
      </c>
      <c r="D165" s="6" t="inlineStr">
        <is>
          <t>ESTABLECIMIENTOS DEMETRIO SL</t>
        </is>
      </c>
      <c r="E165" s="4" t="n">
        <v>14.04</v>
      </c>
      <c r="F165" s="6" t="n"/>
    </row>
    <row r="166">
      <c r="A166" s="6" t="inlineStr">
        <is>
          <t>1.226,00</t>
        </is>
      </c>
      <c r="B166" s="6" t="inlineStr">
        <is>
          <t>25/03/2026</t>
        </is>
      </c>
      <c r="C166" s="6" t="inlineStr">
        <is>
          <t>PARKING CANALEJAS</t>
        </is>
      </c>
      <c r="D166" s="6" t="inlineStr">
        <is>
          <t>PARKING 3000 SL</t>
        </is>
      </c>
      <c r="E166" s="4" t="n">
        <v>6.28</v>
      </c>
      <c r="F166" s="6" t="n"/>
    </row>
    <row r="167">
      <c r="A167" s="6" t="inlineStr">
        <is>
          <t>1.225,00</t>
        </is>
      </c>
      <c r="B167" s="6" t="inlineStr">
        <is>
          <t>26/03/2026</t>
        </is>
      </c>
      <c r="C167" s="6" t="inlineStr">
        <is>
          <t>REPOSTAJE</t>
        </is>
      </c>
      <c r="D167" s="6" t="inlineStr">
        <is>
          <t>ESTACION OMEGA ESPINARDO SL</t>
        </is>
      </c>
      <c r="E167" s="4" t="n">
        <v>17.5</v>
      </c>
      <c r="F167" s="6" t="n"/>
    </row>
    <row r="168">
      <c r="A168" s="6" t="inlineStr">
        <is>
          <t>1.222,00</t>
        </is>
      </c>
      <c r="B168" s="6" t="inlineStr">
        <is>
          <t>30/03/2026</t>
        </is>
      </c>
      <c r="C168" s="6" t="inlineStr">
        <is>
          <t>REPOSTAJE</t>
        </is>
      </c>
      <c r="D168" s="6" t="inlineStr">
        <is>
          <t>REPSOL SOLUCIONES ENERGETICAS SA.</t>
        </is>
      </c>
      <c r="E168" s="4" t="n">
        <v>60</v>
      </c>
      <c r="F168" s="6" t="n"/>
    </row>
    <row r="169">
      <c r="A169" s="6" t="inlineStr">
        <is>
          <t>1.219,00</t>
        </is>
      </c>
      <c r="B169" s="6" t="inlineStr">
        <is>
          <t>31/03/2026</t>
        </is>
      </c>
      <c r="C169" s="6" t="inlineStr">
        <is>
          <t>REPOSTAJE</t>
        </is>
      </c>
      <c r="D169" s="6" t="inlineStr">
        <is>
          <t>REPSOL SOLUCIONES ENERGETICAS SA.</t>
        </is>
      </c>
      <c r="E169" s="4" t="n">
        <v>60</v>
      </c>
      <c r="F169" s="6" t="n"/>
    </row>
    <row r="170">
      <c r="A170" s="6" t="inlineStr">
        <is>
          <t>1.218,00</t>
        </is>
      </c>
      <c r="B170" s="6" t="inlineStr">
        <is>
          <t>31/03/2026</t>
        </is>
      </c>
      <c r="C170" s="6" t="inlineStr">
        <is>
          <t>VARIOS</t>
        </is>
      </c>
      <c r="D170" s="6" t="inlineStr">
        <is>
          <t>FINA LIFANTE FLORES</t>
        </is>
      </c>
      <c r="E170" s="4" t="n">
        <v>11.24</v>
      </c>
      <c r="F170" s="6" t="n"/>
    </row>
    <row r="171">
      <c r="A171" s="6" t="inlineStr">
        <is>
          <t>1.199,00</t>
        </is>
      </c>
      <c r="B171" s="6" t="inlineStr">
        <is>
          <t>24/02/2026</t>
        </is>
      </c>
      <c r="C171" s="6" t="inlineStr">
        <is>
          <t>VARIOS</t>
        </is>
      </c>
      <c r="D171" s="6" t="inlineStr">
        <is>
          <t>DISTRIBUCION QING YONG SL</t>
        </is>
      </c>
      <c r="E171" s="4" t="n">
        <v>11.49</v>
      </c>
      <c r="F171" s="6" t="n"/>
    </row>
    <row r="172">
      <c r="A172" s="6" t="inlineStr">
        <is>
          <t>1.198,00</t>
        </is>
      </c>
      <c r="B172" s="6" t="inlineStr">
        <is>
          <t>10/03/2026</t>
        </is>
      </c>
      <c r="C172" s="6" t="inlineStr">
        <is>
          <t>REPOSTAJE</t>
        </is>
      </c>
      <c r="D172" s="6" t="inlineStr">
        <is>
          <t>E.S. PINOSO S.L.</t>
        </is>
      </c>
      <c r="E172" s="4" t="n">
        <v>61.98</v>
      </c>
      <c r="F172" s="6" t="n"/>
    </row>
    <row r="173">
      <c r="A173" s="6" t="inlineStr">
        <is>
          <t>1.197,00</t>
        </is>
      </c>
      <c r="B173" s="6" t="inlineStr">
        <is>
          <t>13/03/2026</t>
        </is>
      </c>
      <c r="C173" s="6" t="inlineStr">
        <is>
          <t>REPOSTAJE</t>
        </is>
      </c>
      <c r="D173" s="6" t="inlineStr">
        <is>
          <t>REPSOL SOLUCIONES ENERGETICAS SA.</t>
        </is>
      </c>
      <c r="E173" s="4" t="n">
        <v>24.79</v>
      </c>
      <c r="F173" s="6" t="n"/>
    </row>
    <row r="174">
      <c r="A174" s="6" t="inlineStr">
        <is>
          <t>1.196,00</t>
        </is>
      </c>
      <c r="B174" s="6" t="inlineStr">
        <is>
          <t>20/03/2026</t>
        </is>
      </c>
      <c r="C174" s="6" t="inlineStr">
        <is>
          <t>REPOSTAJE</t>
        </is>
      </c>
      <c r="D174" s="6" t="inlineStr">
        <is>
          <t>E.S. PINOSO S.L.</t>
        </is>
      </c>
      <c r="E174" s="4" t="n">
        <v>118.53</v>
      </c>
      <c r="F174" s="6" t="n"/>
    </row>
    <row r="175">
      <c r="A175" s="6" t="inlineStr">
        <is>
          <t>1.195,00</t>
        </is>
      </c>
      <c r="B175" s="6" t="inlineStr">
        <is>
          <t>23/03/2026</t>
        </is>
      </c>
      <c r="C175" s="6" t="inlineStr">
        <is>
          <t>PARKING CANALEJAS</t>
        </is>
      </c>
      <c r="D175" s="6" t="inlineStr">
        <is>
          <t>PARKING 3000 SL</t>
        </is>
      </c>
      <c r="E175" s="4" t="n">
        <v>12.6</v>
      </c>
      <c r="F175" s="6" t="n"/>
    </row>
    <row r="176">
      <c r="A176" s="6" t="inlineStr">
        <is>
          <t>1.194,00</t>
        </is>
      </c>
      <c r="B176" s="6" t="inlineStr">
        <is>
          <t>23/03/2026</t>
        </is>
      </c>
      <c r="C176" s="6" t="inlineStr">
        <is>
          <t>PARKING CANALEJAS</t>
        </is>
      </c>
      <c r="D176" s="6" t="inlineStr">
        <is>
          <t>PARKING 3000 SL</t>
        </is>
      </c>
      <c r="E176" s="4" t="n">
        <v>12.69</v>
      </c>
      <c r="F176" s="6" t="n"/>
    </row>
    <row r="177">
      <c r="A177" s="6" t="inlineStr">
        <is>
          <t>1.193,00</t>
        </is>
      </c>
      <c r="B177" s="6" t="inlineStr">
        <is>
          <t>23/03/2026</t>
        </is>
      </c>
      <c r="C177" s="6" t="inlineStr">
        <is>
          <t>PARKING CANALEJAS</t>
        </is>
      </c>
      <c r="D177" s="6" t="inlineStr">
        <is>
          <t>PARKING 3000 SL</t>
        </is>
      </c>
      <c r="E177" s="4" t="n">
        <v>11.94</v>
      </c>
      <c r="F177" s="6" t="n"/>
    </row>
    <row r="178">
      <c r="A178" s="6" t="inlineStr">
        <is>
          <t>1.192,00</t>
        </is>
      </c>
      <c r="B178" s="6" t="inlineStr">
        <is>
          <t>23/03/2026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12.4</v>
      </c>
      <c r="F178" s="6" t="n"/>
    </row>
    <row r="179">
      <c r="A179" s="6" t="inlineStr">
        <is>
          <t>1.191,00</t>
        </is>
      </c>
      <c r="B179" s="6" t="inlineStr">
        <is>
          <t>23/03/2026</t>
        </is>
      </c>
      <c r="C179" s="6" t="inlineStr">
        <is>
          <t>PARKING CANALEJAS</t>
        </is>
      </c>
      <c r="D179" s="6" t="inlineStr">
        <is>
          <t>PARKING 3000 SL</t>
        </is>
      </c>
      <c r="E179" s="4" t="n">
        <v>8.6</v>
      </c>
      <c r="F179" s="6" t="n"/>
    </row>
    <row r="180">
      <c r="A180" s="6" t="inlineStr">
        <is>
          <t>1.190,00</t>
        </is>
      </c>
      <c r="B180" s="6" t="inlineStr">
        <is>
          <t>23/03/2026</t>
        </is>
      </c>
      <c r="C180" s="6" t="inlineStr">
        <is>
          <t>PARKING CANALEJAS</t>
        </is>
      </c>
      <c r="D180" s="6" t="inlineStr">
        <is>
          <t>PARKING 3000 SL</t>
        </is>
      </c>
      <c r="E180" s="4" t="n">
        <v>12.19</v>
      </c>
      <c r="F180" s="6" t="n"/>
    </row>
    <row r="181">
      <c r="A181" s="6" t="inlineStr">
        <is>
          <t>1.189,00</t>
        </is>
      </c>
      <c r="B181" s="6" t="inlineStr">
        <is>
          <t>31/03/2026</t>
        </is>
      </c>
      <c r="C181" s="6" t="inlineStr">
        <is>
          <t>REPOSTAJE</t>
        </is>
      </c>
      <c r="D181" s="6" t="inlineStr">
        <is>
          <t>REPSOL SOLUCIONES ENERGETICAS SA.</t>
        </is>
      </c>
      <c r="E181" s="4" t="n">
        <v>55</v>
      </c>
      <c r="F181" s="6" t="n"/>
    </row>
    <row r="182">
      <c r="A182" s="6" t="inlineStr">
        <is>
          <t>1.187,00</t>
        </is>
      </c>
      <c r="B182" s="6" t="inlineStr">
        <is>
          <t>09/03/2026</t>
        </is>
      </c>
      <c r="C182" s="6" t="inlineStr">
        <is>
          <t>RESPOSTAJE</t>
        </is>
      </c>
      <c r="D182" s="6" t="inlineStr">
        <is>
          <t>FLASH-CAR LEVANTE SERVICIOS SL</t>
        </is>
      </c>
      <c r="E182" s="4" t="n">
        <v>12.4</v>
      </c>
      <c r="F182" s="6" t="n"/>
    </row>
    <row r="183">
      <c r="A183" s="6" t="inlineStr">
        <is>
          <t>1.184,00</t>
        </is>
      </c>
      <c r="B183" s="6" t="inlineStr">
        <is>
          <t>16/03/2026</t>
        </is>
      </c>
      <c r="C183" s="6" t="inlineStr">
        <is>
          <t>REPOSATAJE</t>
        </is>
      </c>
      <c r="D183" s="6" t="inlineStr">
        <is>
          <t>EUROBAMAS SL</t>
        </is>
      </c>
      <c r="E183" s="4" t="n">
        <v>74.38</v>
      </c>
      <c r="F183" s="6" t="n"/>
    </row>
    <row r="184">
      <c r="A184" s="6" t="inlineStr">
        <is>
          <t>1.181,00</t>
        </is>
      </c>
      <c r="B184" s="6" t="inlineStr">
        <is>
          <t>24/03/2026</t>
        </is>
      </c>
      <c r="C184" s="6" t="inlineStr">
        <is>
          <t>REPOSTAJE</t>
        </is>
      </c>
      <c r="D184" s="6" t="inlineStr">
        <is>
          <t>EUROBAMAS SL</t>
        </is>
      </c>
      <c r="E184" s="4" t="n">
        <v>60.17</v>
      </c>
      <c r="F184" s="6" t="n"/>
    </row>
    <row r="185">
      <c r="A185" s="6" t="inlineStr">
        <is>
          <t>1.171,00</t>
        </is>
      </c>
      <c r="B185" s="6" t="inlineStr">
        <is>
          <t>01/02/2026</t>
        </is>
      </c>
      <c r="C185" s="6" t="inlineStr">
        <is>
          <t>ASESORAMIENTO CONTABLE FISCAL</t>
        </is>
      </c>
      <c r="D185" s="6" t="inlineStr"/>
      <c r="E185" s="4" t="n">
        <v>360.15</v>
      </c>
      <c r="F185" s="6" t="n"/>
    </row>
    <row r="186">
      <c r="A186" s="6" t="inlineStr">
        <is>
          <t>1.170,00</t>
        </is>
      </c>
      <c r="B186" s="6" t="inlineStr">
        <is>
          <t>01/03/2026</t>
        </is>
      </c>
      <c r="C186" s="6" t="inlineStr">
        <is>
          <t>ASESORAMIENTO CONTABLE FISCAL</t>
        </is>
      </c>
      <c r="D186" s="6" t="inlineStr"/>
      <c r="E186" s="4" t="n">
        <v>360.15</v>
      </c>
      <c r="F186" s="6" t="n"/>
    </row>
    <row r="187">
      <c r="A187" s="6" t="inlineStr">
        <is>
          <t>1.166,00</t>
        </is>
      </c>
      <c r="B187" s="6" t="inlineStr">
        <is>
          <t>17/03/2026</t>
        </is>
      </c>
      <c r="C187" s="6" t="inlineStr">
        <is>
          <t>MANGUERA RIEGO</t>
        </is>
      </c>
      <c r="D187" s="6" t="inlineStr">
        <is>
          <t>COMERFONSA SL</t>
        </is>
      </c>
      <c r="E187" s="4" t="n">
        <v>142.11</v>
      </c>
      <c r="F187" s="6" t="n"/>
    </row>
    <row r="188">
      <c r="A188" s="6" t="inlineStr">
        <is>
          <t>1.156,00</t>
        </is>
      </c>
      <c r="B188" s="6" t="inlineStr">
        <is>
          <t>11/03/2026</t>
        </is>
      </c>
      <c r="C188" s="6" t="inlineStr">
        <is>
          <t>MATERIAL</t>
        </is>
      </c>
      <c r="D188" s="6" t="inlineStr">
        <is>
          <t>BRICOLAJE BRICOMAN SLU</t>
        </is>
      </c>
      <c r="E188" s="4" t="n">
        <v>2.02</v>
      </c>
      <c r="F188" s="6" t="n"/>
    </row>
    <row r="189">
      <c r="A189" s="6" t="inlineStr">
        <is>
          <t>1.147,00</t>
        </is>
      </c>
      <c r="B189" s="6" t="inlineStr">
        <is>
          <t>28/02/2026</t>
        </is>
      </c>
      <c r="C189" s="6" t="inlineStr">
        <is>
          <t>ASESORIA LABORAL FEBRERO</t>
        </is>
      </c>
      <c r="D189" s="6" t="inlineStr"/>
      <c r="E189" s="4" t="n">
        <v>260</v>
      </c>
      <c r="F189" s="6" t="n"/>
    </row>
    <row r="190">
      <c r="A190" s="6" t="inlineStr">
        <is>
          <t>1.146,00</t>
        </is>
      </c>
      <c r="B190" s="6" t="inlineStr">
        <is>
          <t>02/03/2026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21.82</v>
      </c>
      <c r="F190" s="6" t="n"/>
    </row>
    <row r="191">
      <c r="A191" s="6" t="inlineStr">
        <is>
          <t>1.145,00</t>
        </is>
      </c>
      <c r="B191" s="6" t="inlineStr">
        <is>
          <t>04/03/2026</t>
        </is>
      </c>
      <c r="C191" s="6" t="inlineStr">
        <is>
          <t>PUERTA RELLENABLE GALVANIZADA</t>
        </is>
      </c>
      <c r="D191" s="6" t="inlineStr">
        <is>
          <t>TOSANTO SL</t>
        </is>
      </c>
      <c r="E191" s="4" t="n">
        <v>105.08</v>
      </c>
      <c r="F191" s="6" t="n"/>
    </row>
    <row r="192">
      <c r="A192" s="6" t="inlineStr">
        <is>
          <t>1.144,00</t>
        </is>
      </c>
      <c r="B192" s="6" t="inlineStr">
        <is>
          <t>04/03/2026</t>
        </is>
      </c>
      <c r="C192" s="6" t="inlineStr">
        <is>
          <t>PUERTA RELLENABLE</t>
        </is>
      </c>
      <c r="D192" s="6" t="inlineStr">
        <is>
          <t>TOSANTO SL</t>
        </is>
      </c>
      <c r="E192" s="4" t="n">
        <v>179.87</v>
      </c>
      <c r="F192" s="6" t="n"/>
    </row>
    <row r="193">
      <c r="A193" s="6" t="inlineStr">
        <is>
          <t>1.143,00</t>
        </is>
      </c>
      <c r="B193" s="6" t="inlineStr">
        <is>
          <t>05/03/2026</t>
        </is>
      </c>
      <c r="C193" s="6" t="inlineStr">
        <is>
          <t>NATURGY FEBRERO</t>
        </is>
      </c>
      <c r="D193" s="6" t="inlineStr"/>
      <c r="E193" s="4" t="n">
        <v>40.54</v>
      </c>
      <c r="F193" s="6" t="n"/>
    </row>
    <row r="194">
      <c r="A194" s="6" t="inlineStr">
        <is>
          <t>1.142,00</t>
        </is>
      </c>
      <c r="B194" s="6" t="inlineStr">
        <is>
          <t>07/03/2026</t>
        </is>
      </c>
      <c r="C194" s="6" t="inlineStr">
        <is>
          <t>REPOSTAJE</t>
        </is>
      </c>
      <c r="D194" s="6" t="inlineStr">
        <is>
          <t>VECTALIA OIL SL.</t>
        </is>
      </c>
      <c r="E194" s="4" t="n">
        <v>26.37</v>
      </c>
      <c r="F194" s="6" t="n"/>
    </row>
    <row r="195">
      <c r="A195" s="6" t="inlineStr">
        <is>
          <t>1.139,00</t>
        </is>
      </c>
      <c r="B195" s="6" t="inlineStr">
        <is>
          <t>08/03/2026</t>
        </is>
      </c>
      <c r="C195" s="6" t="inlineStr">
        <is>
          <t>VARIOS</t>
        </is>
      </c>
      <c r="D195" s="6" t="inlineStr">
        <is>
          <t>ESTACION OMEGA ESPINARDO SL</t>
        </is>
      </c>
      <c r="E195" s="4" t="n">
        <v>8.220000000000001</v>
      </c>
      <c r="F195" s="6" t="n"/>
    </row>
    <row r="196">
      <c r="A196" s="6" t="inlineStr">
        <is>
          <t>1.138,00</t>
        </is>
      </c>
      <c r="B196" s="6" t="inlineStr">
        <is>
          <t>09/03/2026</t>
        </is>
      </c>
      <c r="C196" s="6" t="inlineStr">
        <is>
          <t>CABALLETES TRABAJAO TELESCOPICOS</t>
        </is>
      </c>
      <c r="D196" s="6" t="inlineStr">
        <is>
          <t>TOSANTO SL</t>
        </is>
      </c>
      <c r="E196" s="4" t="n">
        <v>328.1</v>
      </c>
      <c r="F196" s="6" t="n"/>
    </row>
    <row r="197">
      <c r="A197" s="6" t="inlineStr">
        <is>
          <t>1.133,00</t>
        </is>
      </c>
      <c r="B197" s="6" t="inlineStr">
        <is>
          <t>10/03/2026</t>
        </is>
      </c>
      <c r="C197" s="6" t="inlineStr">
        <is>
          <t>CAPAZOS</t>
        </is>
      </c>
      <c r="D197" s="6" t="inlineStr">
        <is>
          <t>BRICOLAJE BRICOMAN SLU</t>
        </is>
      </c>
      <c r="E197" s="4" t="n">
        <v>28.51</v>
      </c>
      <c r="F197" s="6" t="n"/>
    </row>
    <row r="198">
      <c r="A198" s="6" t="inlineStr">
        <is>
          <t>1.128,00</t>
        </is>
      </c>
      <c r="B198" s="6" t="inlineStr">
        <is>
          <t>05/01/2026</t>
        </is>
      </c>
      <c r="C198" s="6" t="inlineStr">
        <is>
          <t>VIA T ENERO</t>
        </is>
      </c>
      <c r="D198" s="6" t="inlineStr"/>
      <c r="E198" s="4" t="n">
        <v>10.81</v>
      </c>
      <c r="F198" s="6" t="n"/>
    </row>
    <row r="199">
      <c r="A199" s="6" t="inlineStr">
        <is>
          <t>1.127,00</t>
        </is>
      </c>
      <c r="B199" s="6" t="inlineStr">
        <is>
          <t>03/02/2026</t>
        </is>
      </c>
      <c r="C199" s="6" t="inlineStr">
        <is>
          <t>VIA T FEBRERO</t>
        </is>
      </c>
      <c r="D199" s="6" t="inlineStr"/>
      <c r="E199" s="4" t="n">
        <v>32.52</v>
      </c>
      <c r="F199" s="6" t="n"/>
    </row>
    <row r="200">
      <c r="A200" s="6" t="inlineStr">
        <is>
          <t>1.126,00</t>
        </is>
      </c>
      <c r="B200" s="6" t="inlineStr">
        <is>
          <t>21/02/2026</t>
        </is>
      </c>
      <c r="C200" s="6" t="inlineStr">
        <is>
          <t>HOLDED FEBRERO</t>
        </is>
      </c>
      <c r="D200" s="6" t="inlineStr">
        <is>
          <t>HOLDED TECHNOLOGIES SL.</t>
        </is>
      </c>
      <c r="E200" s="4" t="n">
        <v>59</v>
      </c>
      <c r="F200" s="6" t="n"/>
    </row>
    <row r="201">
      <c r="A201" s="6" t="inlineStr">
        <is>
          <t>1.125,00</t>
        </is>
      </c>
      <c r="B201" s="6" t="inlineStr">
        <is>
          <t>03/03/2026</t>
        </is>
      </c>
      <c r="C201" s="6" t="inlineStr">
        <is>
          <t>VIA T MARZO</t>
        </is>
      </c>
      <c r="D201" s="6" t="inlineStr"/>
      <c r="E201" s="4" t="n">
        <v>9.42</v>
      </c>
      <c r="F201" s="6" t="n"/>
    </row>
    <row r="202">
      <c r="A202" s="6" t="inlineStr">
        <is>
          <t>1.124,00</t>
        </is>
      </c>
      <c r="B202" s="6" t="inlineStr">
        <is>
          <t>02/03/2026</t>
        </is>
      </c>
      <c r="C202" s="6" t="inlineStr">
        <is>
          <t>ALQUILER NAVE MARZO</t>
        </is>
      </c>
      <c r="D202" s="6" t="inlineStr">
        <is>
          <t>PINKY VELVET INTERNATIONAL SL</t>
        </is>
      </c>
      <c r="E202" s="4" t="n">
        <v>350</v>
      </c>
      <c r="F202" s="6" t="n"/>
    </row>
    <row r="203">
      <c r="A203" s="6" t="inlineStr">
        <is>
          <t>1.123,00</t>
        </is>
      </c>
      <c r="B203" s="6" t="inlineStr">
        <is>
          <t>28/02/2026</t>
        </is>
      </c>
      <c r="C203" s="6" t="inlineStr">
        <is>
          <t>GASOLINA FEBRERO</t>
        </is>
      </c>
      <c r="D203" s="6" t="inlineStr">
        <is>
          <t>PLENOIL SL.</t>
        </is>
      </c>
      <c r="E203" s="4" t="n">
        <v>1017.62</v>
      </c>
      <c r="F203" s="6" t="n"/>
    </row>
    <row r="204">
      <c r="A204" s="6" t="inlineStr">
        <is>
          <t>1.122,00</t>
        </is>
      </c>
      <c r="B204" s="6" t="inlineStr">
        <is>
          <t>05/03/2026</t>
        </is>
      </c>
      <c r="C204" s="6" t="inlineStr">
        <is>
          <t>JAZZTEL FEBRERO</t>
        </is>
      </c>
      <c r="D204" s="6" t="inlineStr">
        <is>
          <t>ORANGE ESPAGNE SAU.</t>
        </is>
      </c>
      <c r="E204" s="4" t="n">
        <v>41.28</v>
      </c>
      <c r="F204" s="6" t="n"/>
    </row>
    <row r="205">
      <c r="A205" s="6" t="inlineStr">
        <is>
          <t>1.120,00</t>
        </is>
      </c>
      <c r="B205" s="6" t="inlineStr">
        <is>
          <t>01/01/2026</t>
        </is>
      </c>
      <c r="C205" s="6" t="inlineStr">
        <is>
          <t>IGUALA ENERO</t>
        </is>
      </c>
      <c r="D205" s="6" t="inlineStr"/>
      <c r="E205" s="4" t="n">
        <v>360.15</v>
      </c>
      <c r="F205" s="6" t="n"/>
    </row>
    <row r="206">
      <c r="A206" s="6" t="inlineStr">
        <is>
          <t>1.107,00</t>
        </is>
      </c>
      <c r="B206" s="6" t="inlineStr">
        <is>
          <t>26/02/2026</t>
        </is>
      </c>
      <c r="C206" s="6" t="inlineStr">
        <is>
          <t>REPOSTAJE</t>
        </is>
      </c>
      <c r="D206" s="6" t="inlineStr">
        <is>
          <t>REPSOL SOLUCIONES ENERGETICAS SA.</t>
        </is>
      </c>
      <c r="E206" s="4" t="n">
        <v>33.06</v>
      </c>
      <c r="F206" s="6" t="n"/>
    </row>
    <row r="207">
      <c r="A207" s="6" t="inlineStr">
        <is>
          <t>1.106,00</t>
        </is>
      </c>
      <c r="B207" s="6" t="inlineStr">
        <is>
          <t>26/02/2026</t>
        </is>
      </c>
      <c r="C207" s="6" t="inlineStr">
        <is>
          <t>REPOSTAJE</t>
        </is>
      </c>
      <c r="D207" s="6" t="inlineStr">
        <is>
          <t>FLASH-CAR LEVANTE SERVICIOS SL</t>
        </is>
      </c>
      <c r="E207" s="4" t="n">
        <v>16.53</v>
      </c>
      <c r="F207" s="6" t="n"/>
    </row>
    <row r="208">
      <c r="A208" s="6" t="inlineStr">
        <is>
          <t>1.104,00</t>
        </is>
      </c>
      <c r="B208" s="6" t="inlineStr">
        <is>
          <t>27/02/2026</t>
        </is>
      </c>
      <c r="C208" s="6" t="inlineStr">
        <is>
          <t>MATERIAL</t>
        </is>
      </c>
      <c r="D208" s="6" t="inlineStr">
        <is>
          <t>ROSALIA MARTINEZ RUIZ</t>
        </is>
      </c>
      <c r="E208" s="4" t="n">
        <v>13.84</v>
      </c>
      <c r="F208" s="6" t="n"/>
    </row>
    <row r="209">
      <c r="A209" s="6" t="inlineStr">
        <is>
          <t>1.101,00</t>
        </is>
      </c>
      <c r="B209" s="6" t="inlineStr">
        <is>
          <t>05/03/2026</t>
        </is>
      </c>
      <c r="C209" s="6" t="inlineStr">
        <is>
          <t>REPOSTAJE</t>
        </is>
      </c>
      <c r="D209" s="6" t="inlineStr">
        <is>
          <t>CAMPSA ESTACIONES DE SERVICIO SA</t>
        </is>
      </c>
      <c r="E209" s="4" t="n">
        <v>19.79</v>
      </c>
      <c r="F209" s="6" t="n"/>
    </row>
    <row r="210">
      <c r="A210" s="6" t="inlineStr">
        <is>
          <t>1.094,00</t>
        </is>
      </c>
      <c r="B210" s="6" t="inlineStr">
        <is>
          <t>06/02/2026</t>
        </is>
      </c>
      <c r="C210" s="6" t="inlineStr">
        <is>
          <t>PROLONGADOR 50M IP55</t>
        </is>
      </c>
      <c r="D210" s="6" t="inlineStr">
        <is>
          <t>JUAN JOSÉ MUÑOZ ROBLES</t>
        </is>
      </c>
      <c r="E210" s="4" t="n">
        <v>1203.5</v>
      </c>
      <c r="F210" s="6" t="n"/>
    </row>
    <row r="211">
      <c r="A211" s="6" t="inlineStr">
        <is>
          <t>1.093,00</t>
        </is>
      </c>
      <c r="B211" s="6" t="inlineStr">
        <is>
          <t>06/02/2026</t>
        </is>
      </c>
      <c r="C211" s="6" t="inlineStr">
        <is>
          <t>GENERADOR MOTOR HONDA</t>
        </is>
      </c>
      <c r="D211" s="6" t="inlineStr">
        <is>
          <t>JUAN JOSÉ MUÑOZ ROBLES</t>
        </is>
      </c>
      <c r="E211" s="4" t="n">
        <v>1430</v>
      </c>
      <c r="F211" s="6" t="n"/>
    </row>
    <row r="212">
      <c r="A212" s="6" t="inlineStr">
        <is>
          <t>1.092,00</t>
        </is>
      </c>
      <c r="B212" s="6" t="inlineStr">
        <is>
          <t>07/02/2026</t>
        </is>
      </c>
      <c r="C212" s="6" t="inlineStr">
        <is>
          <t>REPOSTAJE</t>
        </is>
      </c>
      <c r="D212" s="6" t="inlineStr">
        <is>
          <t>ESTACION OMEGA ESPINARDO SL</t>
        </is>
      </c>
      <c r="E212" s="4" t="n">
        <v>15.48</v>
      </c>
      <c r="F212" s="6" t="n"/>
    </row>
    <row r="213">
      <c r="A213" s="6" t="inlineStr">
        <is>
          <t>1.091,00</t>
        </is>
      </c>
      <c r="B213" s="6" t="inlineStr">
        <is>
          <t>05/02/2026</t>
        </is>
      </c>
      <c r="C213" s="6" t="inlineStr">
        <is>
          <t>NATURGY ENERO</t>
        </is>
      </c>
      <c r="D213" s="6" t="inlineStr">
        <is>
          <t>NATURGY IBERIA SA.</t>
        </is>
      </c>
      <c r="E213" s="4" t="n">
        <v>48.52</v>
      </c>
      <c r="F213" s="6" t="n"/>
    </row>
    <row r="214">
      <c r="A214" s="6" t="inlineStr">
        <is>
          <t>1.090,00</t>
        </is>
      </c>
      <c r="B214" s="6" t="inlineStr">
        <is>
          <t>05/02/2026</t>
        </is>
      </c>
      <c r="C214" s="6" t="inlineStr">
        <is>
          <t>JAZZTEL ENERO</t>
        </is>
      </c>
      <c r="D214" s="6" t="inlineStr">
        <is>
          <t>ORANGE ESPAGNE SAU.</t>
        </is>
      </c>
      <c r="E214" s="4" t="n">
        <v>41.28</v>
      </c>
      <c r="F214" s="6" t="n"/>
    </row>
    <row r="215">
      <c r="A215" s="6" t="inlineStr">
        <is>
          <t>1.089,00</t>
        </is>
      </c>
      <c r="B215" s="6" t="inlineStr">
        <is>
          <t>06/02/2026</t>
        </is>
      </c>
      <c r="C215" s="6" t="inlineStr">
        <is>
          <t>GUANTES TRABAJO</t>
        </is>
      </c>
      <c r="D215" s="6" t="inlineStr">
        <is>
          <t>JUAN JOSÉ MUÑOZ ROBLES</t>
        </is>
      </c>
      <c r="E215" s="4" t="n">
        <v>120</v>
      </c>
      <c r="F215" s="6" t="n"/>
    </row>
    <row r="216">
      <c r="A216" s="6" t="inlineStr">
        <is>
          <t>1.088,00</t>
        </is>
      </c>
      <c r="B216" s="6" t="inlineStr">
        <is>
          <t>03/02/2026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61.99</v>
      </c>
      <c r="F216" s="6" t="n"/>
    </row>
    <row r="217">
      <c r="A217" s="6" t="inlineStr">
        <is>
          <t>1.087,00</t>
        </is>
      </c>
      <c r="B217" s="6" t="inlineStr">
        <is>
          <t>03/02/2026</t>
        </is>
      </c>
      <c r="C217" s="6" t="inlineStr">
        <is>
          <t>ON BOARGING BILLD IN</t>
        </is>
      </c>
      <c r="D217" s="6" t="inlineStr">
        <is>
          <t>SIDE QUEST APES, S.L.</t>
        </is>
      </c>
      <c r="E217" s="4" t="n">
        <v>1200</v>
      </c>
      <c r="F217" s="6" t="n"/>
    </row>
    <row r="218">
      <c r="A218" s="6" t="inlineStr">
        <is>
          <t>1.086,00</t>
        </is>
      </c>
      <c r="B218" s="6" t="inlineStr">
        <is>
          <t>04/02/2026</t>
        </is>
      </c>
      <c r="C218" s="6" t="inlineStr">
        <is>
          <t>REPOSTAJE</t>
        </is>
      </c>
      <c r="D218" s="6" t="inlineStr">
        <is>
          <t>ESTACION OMEGA ESPINARDO SL</t>
        </is>
      </c>
      <c r="E218" s="4" t="n">
        <v>19.26</v>
      </c>
      <c r="F218" s="6" t="n"/>
    </row>
    <row r="219">
      <c r="A219" s="6" t="inlineStr">
        <is>
          <t>1.085,00</t>
        </is>
      </c>
      <c r="B219" s="6" t="inlineStr">
        <is>
          <t>31/01/2026</t>
        </is>
      </c>
      <c r="C219" s="6" t="inlineStr">
        <is>
          <t>CHAQUETAS LABORAL</t>
        </is>
      </c>
      <c r="D219" s="6" t="inlineStr">
        <is>
          <t>INDICATIVO SL</t>
        </is>
      </c>
      <c r="E219" s="4" t="n">
        <v>430</v>
      </c>
      <c r="F219" s="6" t="n"/>
    </row>
    <row r="220">
      <c r="A220" s="6" t="inlineStr">
        <is>
          <t>1.084,00</t>
        </is>
      </c>
      <c r="B220" s="6" t="inlineStr">
        <is>
          <t>02/02/2026</t>
        </is>
      </c>
      <c r="C220" s="6" t="inlineStr">
        <is>
          <t>ALQUILER NAVE FEBRERO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1.083,00</t>
        </is>
      </c>
      <c r="B221" s="6" t="inlineStr">
        <is>
          <t>03/02/2026</t>
        </is>
      </c>
      <c r="C221" s="6" t="inlineStr">
        <is>
          <t>REPOSTAJE</t>
        </is>
      </c>
      <c r="D221" s="6" t="inlineStr">
        <is>
          <t>REPSOL SOLUCIONES ENERGETICAS SA.</t>
        </is>
      </c>
      <c r="E221" s="4" t="n">
        <v>74.38</v>
      </c>
      <c r="F221" s="6" t="n"/>
    </row>
    <row r="222">
      <c r="A222" s="6" t="inlineStr">
        <is>
          <t>1.082,00</t>
        </is>
      </c>
      <c r="B222" s="6" t="inlineStr">
        <is>
          <t>03/02/2026</t>
        </is>
      </c>
      <c r="C222" s="6" t="inlineStr">
        <is>
          <t>REPOSTAJE</t>
        </is>
      </c>
      <c r="D222" s="6" t="inlineStr">
        <is>
          <t>E.S. PINOSO S.L.</t>
        </is>
      </c>
      <c r="E222" s="4" t="n">
        <v>37.19</v>
      </c>
      <c r="F222" s="6" t="n"/>
    </row>
    <row r="223">
      <c r="A223" s="6" t="inlineStr">
        <is>
          <t>1.081,00</t>
        </is>
      </c>
      <c r="B223" s="6" t="inlineStr">
        <is>
          <t>29/01/2026</t>
        </is>
      </c>
      <c r="C223" s="6" t="inlineStr">
        <is>
          <t>ROLLO HILO DE ALAMBRE</t>
        </is>
      </c>
      <c r="D223" s="6" t="inlineStr">
        <is>
          <t>JUAN JOSÉ MUÑOZ ROBLES</t>
        </is>
      </c>
      <c r="E223" s="4" t="n">
        <v>300</v>
      </c>
      <c r="F223" s="6" t="n"/>
    </row>
    <row r="224">
      <c r="A224" s="6" t="inlineStr">
        <is>
          <t>1.080,00</t>
        </is>
      </c>
      <c r="B224" s="6" t="inlineStr">
        <is>
          <t>31/01/2026</t>
        </is>
      </c>
      <c r="C224" s="6" t="inlineStr">
        <is>
          <t>GUANTE SOLDADOR / MASCARILLA / SOPLETE</t>
        </is>
      </c>
      <c r="D224" s="6" t="inlineStr">
        <is>
          <t>SUMINISTROS INDUSTRIALES FARELL SA</t>
        </is>
      </c>
      <c r="E224" s="4" t="n">
        <v>160.74</v>
      </c>
      <c r="F224" s="6" t="n"/>
    </row>
    <row r="225">
      <c r="A225" s="6" t="inlineStr">
        <is>
          <t>1.078,00</t>
        </is>
      </c>
      <c r="B225" s="6" t="inlineStr">
        <is>
          <t>22/01/2026</t>
        </is>
      </c>
      <c r="C225" s="6" t="inlineStr">
        <is>
          <t>REPOSTAJE</t>
        </is>
      </c>
      <c r="D225" s="6" t="inlineStr">
        <is>
          <t>CAMPSA ESTACIONES DE SERVICIO SA</t>
        </is>
      </c>
      <c r="E225" s="4" t="n">
        <v>13.18</v>
      </c>
      <c r="F225" s="6" t="n"/>
    </row>
    <row r="226">
      <c r="A226" s="6" t="inlineStr">
        <is>
          <t>1.077,00</t>
        </is>
      </c>
      <c r="B226" s="6" t="inlineStr">
        <is>
          <t>22/01/2026</t>
        </is>
      </c>
      <c r="C226" s="6" t="inlineStr">
        <is>
          <t>REPOSTAJE</t>
        </is>
      </c>
      <c r="D226" s="6" t="inlineStr">
        <is>
          <t>REATA ESTACIONES SL.</t>
        </is>
      </c>
      <c r="E226" s="4" t="n">
        <v>29.38</v>
      </c>
      <c r="F226" s="6" t="n"/>
    </row>
    <row r="227">
      <c r="A227" s="6" t="inlineStr">
        <is>
          <t>1.076,00</t>
        </is>
      </c>
      <c r="B227" s="6" t="inlineStr">
        <is>
          <t>29/01/2026</t>
        </is>
      </c>
      <c r="C227" s="6" t="inlineStr">
        <is>
          <t>ALARGADERA</t>
        </is>
      </c>
      <c r="D227" s="6" t="inlineStr">
        <is>
          <t>BRICOLAJE BRICOMAN SLU</t>
        </is>
      </c>
      <c r="E227" s="4" t="n">
        <v>51.24</v>
      </c>
      <c r="F227" s="6" t="n"/>
    </row>
    <row r="228">
      <c r="A228" s="6" t="inlineStr">
        <is>
          <t>1.075,00</t>
        </is>
      </c>
      <c r="B228" s="6" t="inlineStr">
        <is>
          <t>29/01/2026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234</v>
      </c>
      <c r="F228" s="6" t="n"/>
    </row>
    <row r="229">
      <c r="A229" s="6" t="inlineStr">
        <is>
          <t>1.074,00</t>
        </is>
      </c>
      <c r="B229" s="6" t="inlineStr">
        <is>
          <t>15/01/2026</t>
        </is>
      </c>
      <c r="C229" s="6" t="inlineStr">
        <is>
          <t>VARIOS</t>
        </is>
      </c>
      <c r="D229" s="6" t="inlineStr">
        <is>
          <t>JYSK DBL IBERIA SLU</t>
        </is>
      </c>
      <c r="E229" s="4" t="n">
        <v>44.86</v>
      </c>
      <c r="F229" s="6" t="n"/>
    </row>
    <row r="230">
      <c r="A230" s="6" t="inlineStr">
        <is>
          <t>1.073,00</t>
        </is>
      </c>
      <c r="B230" s="6" t="inlineStr">
        <is>
          <t>20/01/2026</t>
        </is>
      </c>
      <c r="C230" s="6" t="inlineStr">
        <is>
          <t>REPOSTAJE</t>
        </is>
      </c>
      <c r="D230" s="6" t="inlineStr">
        <is>
          <t>CONCORDY SA</t>
        </is>
      </c>
      <c r="E230" s="4" t="n">
        <v>56.07</v>
      </c>
      <c r="F230" s="6" t="n"/>
    </row>
    <row r="231">
      <c r="A231" s="6" t="inlineStr">
        <is>
          <t>1.072,00</t>
        </is>
      </c>
      <c r="B231" s="6" t="inlineStr">
        <is>
          <t>20/01/2026</t>
        </is>
      </c>
      <c r="C231" s="6" t="inlineStr">
        <is>
          <t>PEGATINAS VALLAS</t>
        </is>
      </c>
      <c r="D231" s="6" t="inlineStr">
        <is>
          <t>INDICATIVO SL</t>
        </is>
      </c>
      <c r="E231" s="4" t="n">
        <v>200</v>
      </c>
      <c r="F231" s="6" t="n"/>
    </row>
    <row r="232">
      <c r="A232" s="6" t="inlineStr">
        <is>
          <t>1.071,00</t>
        </is>
      </c>
      <c r="B232" s="6" t="inlineStr">
        <is>
          <t>22/01/2026</t>
        </is>
      </c>
      <c r="C232" s="6" t="inlineStr">
        <is>
          <t>DIGI ENERO</t>
        </is>
      </c>
      <c r="D232" s="6" t="inlineStr">
        <is>
          <t>DIGI SPAIN TELECOM SL</t>
        </is>
      </c>
      <c r="E232" s="4" t="n">
        <v>9.09</v>
      </c>
      <c r="F232" s="6" t="n"/>
    </row>
    <row r="233">
      <c r="A233" s="6" t="inlineStr">
        <is>
          <t>1.070,00</t>
        </is>
      </c>
      <c r="B233" s="6" t="inlineStr">
        <is>
          <t>08/01/2026</t>
        </is>
      </c>
      <c r="C233" s="6" t="inlineStr">
        <is>
          <t>NATURGY DICIEMBRE</t>
        </is>
      </c>
      <c r="D233" s="6" t="inlineStr">
        <is>
          <t>NATURGY IBERIA SA.</t>
        </is>
      </c>
      <c r="E233" s="4" t="n">
        <v>32.89</v>
      </c>
      <c r="F233" s="6" t="n"/>
    </row>
    <row r="234">
      <c r="A234" s="6" t="inlineStr">
        <is>
          <t>1.069,00</t>
        </is>
      </c>
      <c r="B234" s="6" t="inlineStr">
        <is>
          <t>09/01/2026</t>
        </is>
      </c>
      <c r="C234" s="6" t="inlineStr">
        <is>
          <t>MAQUINA STHILL</t>
        </is>
      </c>
      <c r="D234" s="6" t="inlineStr">
        <is>
          <t>MARHUENDA IMPORTACIONES SL</t>
        </is>
      </c>
      <c r="E234" s="4" t="n">
        <v>1716.53</v>
      </c>
      <c r="F234" s="6" t="n"/>
    </row>
    <row r="235">
      <c r="A235" s="6" t="inlineStr">
        <is>
          <t>1.068,00</t>
        </is>
      </c>
      <c r="B235" s="6" t="inlineStr">
        <is>
          <t>13/01/2026</t>
        </is>
      </c>
      <c r="C235" s="6" t="inlineStr">
        <is>
          <t>CALZADO LABORAL</t>
        </is>
      </c>
      <c r="D235" s="6" t="inlineStr">
        <is>
          <t>BRICOLAJE BRICOMAN SLU</t>
        </is>
      </c>
      <c r="E235" s="4" t="n">
        <v>119.09</v>
      </c>
      <c r="F235" s="6" t="n"/>
    </row>
    <row r="236">
      <c r="A236" s="6" t="inlineStr">
        <is>
          <t>1.067,00</t>
        </is>
      </c>
      <c r="B236" s="6" t="inlineStr">
        <is>
          <t>14/01/2026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16.94</v>
      </c>
      <c r="F236" s="6" t="n"/>
    </row>
    <row r="237">
      <c r="A237" s="6" t="inlineStr">
        <is>
          <t>1.064,00</t>
        </is>
      </c>
      <c r="B237" s="6" t="inlineStr">
        <is>
          <t>05/01/2026</t>
        </is>
      </c>
      <c r="C237" s="6" t="inlineStr">
        <is>
          <t>JAZZTEL DICIEMBRE</t>
        </is>
      </c>
      <c r="D237" s="6" t="inlineStr">
        <is>
          <t>ORANGE ESPAGNE SAU.</t>
        </is>
      </c>
      <c r="E237" s="4" t="n">
        <v>73.02</v>
      </c>
      <c r="F237" s="6" t="n"/>
    </row>
    <row r="238">
      <c r="A238" s="6" t="inlineStr">
        <is>
          <t>950</t>
        </is>
      </c>
      <c r="B238" s="6" t="inlineStr">
        <is>
          <t>06/03/2026</t>
        </is>
      </c>
      <c r="C238" s="6" t="inlineStr">
        <is>
          <t>NATURGY AGOSTO</t>
        </is>
      </c>
      <c r="D238" s="6" t="inlineStr">
        <is>
          <t>NATURGY IBERIA SA.</t>
        </is>
      </c>
      <c r="E238" s="4" t="n">
        <v>19.68</v>
      </c>
      <c r="F238" s="6" t="n"/>
    </row>
    <row r="239">
      <c r="A239" s="6" t="inlineStr">
        <is>
          <t>928</t>
        </is>
      </c>
      <c r="B239" s="6" t="inlineStr">
        <is>
          <t>31/01/2026</t>
        </is>
      </c>
      <c r="C239" s="6" t="inlineStr">
        <is>
          <t>PLENOIL ENERO</t>
        </is>
      </c>
      <c r="D239" s="6" t="inlineStr">
        <is>
          <t>PLENOIL SL.</t>
        </is>
      </c>
      <c r="E239" s="4" t="n">
        <v>1109.93</v>
      </c>
      <c r="F239" s="6" t="n"/>
    </row>
    <row r="240">
      <c r="A240" s="6" t="inlineStr">
        <is>
          <t>927</t>
        </is>
      </c>
      <c r="B240" s="6" t="inlineStr">
        <is>
          <t>10/02/2026</t>
        </is>
      </c>
      <c r="C240" s="6" t="inlineStr">
        <is>
          <t>AGUA ENERO</t>
        </is>
      </c>
      <c r="D240" s="6" t="inlineStr">
        <is>
          <t>HIDRAQUA GESTIÓN INTEGRAL DE AGUAS DE LEVANTE SL</t>
        </is>
      </c>
      <c r="E240" s="4" t="n">
        <v>31.33</v>
      </c>
      <c r="F240" s="6" t="n"/>
    </row>
    <row r="241">
      <c r="A241" s="6" t="inlineStr">
        <is>
          <t>926</t>
        </is>
      </c>
      <c r="B241" s="6" t="inlineStr">
        <is>
          <t>17/02/2026</t>
        </is>
      </c>
      <c r="C241" s="6" t="inlineStr">
        <is>
          <t>SELLO FACTURAS</t>
        </is>
      </c>
      <c r="D241" s="6" t="inlineStr">
        <is>
          <t>ENDLESS SYSTEMS SLU</t>
        </is>
      </c>
      <c r="E241" s="4" t="n">
        <v>26.45</v>
      </c>
      <c r="F241" s="6" t="n"/>
    </row>
    <row r="242">
      <c r="A242" s="6" t="inlineStr">
        <is>
          <t>925</t>
        </is>
      </c>
      <c r="B242" s="6" t="inlineStr">
        <is>
          <t>17/02/2026</t>
        </is>
      </c>
      <c r="C242" s="6" t="inlineStr">
        <is>
          <t>ROLLO ALAMBRE</t>
        </is>
      </c>
      <c r="D242" s="6" t="inlineStr">
        <is>
          <t>JUAN JOSÉ MUÑOZ ROBLES</t>
        </is>
      </c>
      <c r="E242" s="4" t="n">
        <v>1000</v>
      </c>
      <c r="F242" s="6" t="n"/>
    </row>
    <row r="243">
      <c r="A243" s="6" t="inlineStr">
        <is>
          <t>924</t>
        </is>
      </c>
      <c r="B243" s="6" t="inlineStr">
        <is>
          <t>17/02/2026</t>
        </is>
      </c>
      <c r="C243" s="6" t="inlineStr">
        <is>
          <t>MATERIAL OBRA</t>
        </is>
      </c>
      <c r="D243" s="6" t="inlineStr">
        <is>
          <t>JUAN JOSÉ MUÑOZ ROBLES</t>
        </is>
      </c>
      <c r="E243" s="4" t="n">
        <v>389.7</v>
      </c>
      <c r="F243" s="6" t="n"/>
    </row>
    <row r="244">
      <c r="A244" s="6" t="inlineStr">
        <is>
          <t>922</t>
        </is>
      </c>
      <c r="B244" s="6" t="inlineStr">
        <is>
          <t>31/01/2026</t>
        </is>
      </c>
      <c r="C244" s="6" t="inlineStr">
        <is>
          <t>ASESORIA LABORAL ENERO</t>
        </is>
      </c>
      <c r="D244" s="6" t="inlineStr"/>
      <c r="E244" s="4" t="n">
        <v>260</v>
      </c>
      <c r="F244" s="6" t="n"/>
    </row>
    <row r="245">
      <c r="A245" s="6" t="inlineStr">
        <is>
          <t>917</t>
        </is>
      </c>
      <c r="B245" s="6" t="inlineStr">
        <is>
          <t>04/01/2026</t>
        </is>
      </c>
      <c r="C245" s="6" t="inlineStr">
        <is>
          <t>ALQUILER NAVE ENERO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906</t>
        </is>
      </c>
      <c r="B246" s="6" t="inlineStr">
        <is>
          <t>04/03/2026</t>
        </is>
      </c>
      <c r="C246" s="6" t="inlineStr">
        <is>
          <t>REPOSTAJE</t>
        </is>
      </c>
      <c r="D246" s="6" t="inlineStr">
        <is>
          <t>JR VIDAL RICO SL</t>
        </is>
      </c>
      <c r="E246" s="4" t="n">
        <v>59.66</v>
      </c>
      <c r="F246" s="6" t="n"/>
    </row>
    <row r="247">
      <c r="A247" s="6" t="inlineStr">
        <is>
          <t>890</t>
        </is>
      </c>
      <c r="B247" s="6" t="inlineStr">
        <is>
          <t>18/02/2026</t>
        </is>
      </c>
      <c r="C247" s="6" t="inlineStr">
        <is>
          <t>REPOSTAJE</t>
        </is>
      </c>
      <c r="D247" s="6" t="inlineStr">
        <is>
          <t>E.E. CAÑIZARES, CB</t>
        </is>
      </c>
      <c r="E247" s="4" t="n">
        <v>74.38</v>
      </c>
      <c r="F247" s="6" t="n"/>
    </row>
    <row r="248">
      <c r="A248" s="6" t="inlineStr">
        <is>
          <t>888</t>
        </is>
      </c>
      <c r="B248" s="6" t="inlineStr">
        <is>
          <t>20/02/2026</t>
        </is>
      </c>
      <c r="C248" s="6" t="inlineStr">
        <is>
          <t>GUANTES</t>
        </is>
      </c>
      <c r="D248" s="6" t="inlineStr">
        <is>
          <t>HIJOS DE JOSE BUSQUIER SL</t>
        </is>
      </c>
      <c r="E248" s="4" t="n">
        <v>7.25</v>
      </c>
      <c r="F248" s="6" t="n"/>
    </row>
    <row r="249">
      <c r="A249" s="6" t="inlineStr">
        <is>
          <t>887</t>
        </is>
      </c>
      <c r="B249" s="6" t="inlineStr">
        <is>
          <t>20/02/2026</t>
        </is>
      </c>
      <c r="C249" s="6" t="inlineStr">
        <is>
          <t>MATERIAL OBRA</t>
        </is>
      </c>
      <c r="D249" s="6" t="inlineStr">
        <is>
          <t>HIJOS DE JOSE BUSQUIER SL</t>
        </is>
      </c>
      <c r="E249" s="4" t="n">
        <v>321.37</v>
      </c>
      <c r="F249" s="6" t="n"/>
    </row>
    <row r="250">
      <c r="A250" s="6" t="inlineStr">
        <is>
          <t>886</t>
        </is>
      </c>
      <c r="B250" s="6" t="inlineStr">
        <is>
          <t>25/02/2026</t>
        </is>
      </c>
      <c r="C250" s="6" t="inlineStr">
        <is>
          <t>REPOSTAJE</t>
        </is>
      </c>
      <c r="D250" s="6" t="inlineStr">
        <is>
          <t>E.S. PINOSO S.L.</t>
        </is>
      </c>
      <c r="E250" s="4" t="n">
        <v>24.9</v>
      </c>
      <c r="F250" s="6" t="n"/>
    </row>
    <row r="251">
      <c r="A251" s="6" t="inlineStr">
        <is>
          <t>885</t>
        </is>
      </c>
      <c r="B251" s="6" t="inlineStr">
        <is>
          <t>26/02/2026</t>
        </is>
      </c>
      <c r="C251" s="6" t="inlineStr">
        <is>
          <t>REPOSTAJE</t>
        </is>
      </c>
      <c r="D251" s="6" t="inlineStr">
        <is>
          <t>REPSOL SOLUCIONES ENERGETICAS SA.</t>
        </is>
      </c>
      <c r="E251" s="4" t="n">
        <v>63.79</v>
      </c>
      <c r="F251" s="6" t="n"/>
    </row>
    <row r="252">
      <c r="A252" s="6" t="inlineStr">
        <is>
          <t>878</t>
        </is>
      </c>
      <c r="B252" s="6" t="inlineStr">
        <is>
          <t>25/02/2026</t>
        </is>
      </c>
      <c r="C252" s="6" t="inlineStr">
        <is>
          <t>MASCARILLAS / CALDERETA / NIVEL ASER</t>
        </is>
      </c>
      <c r="D252" s="6" t="inlineStr">
        <is>
          <t>JUAN JOSÉ MUÑOZ ROBLES</t>
        </is>
      </c>
      <c r="E252" s="4" t="n">
        <v>976.7</v>
      </c>
      <c r="F252" s="6" t="n"/>
    </row>
    <row r="253">
      <c r="A253" s="6" t="inlineStr">
        <is>
          <t>873</t>
        </is>
      </c>
      <c r="B253" s="6" t="inlineStr">
        <is>
          <t>15/02/2026</t>
        </is>
      </c>
      <c r="C253" s="6" t="inlineStr">
        <is>
          <t>BARNIZ</t>
        </is>
      </c>
      <c r="D253" s="6" t="inlineStr">
        <is>
          <t>PINTURAS IDELLA SL.</t>
        </is>
      </c>
      <c r="E253" s="4" t="n">
        <v>7.34</v>
      </c>
      <c r="F253" s="6" t="n"/>
    </row>
    <row r="254">
      <c r="A254" s="6" t="inlineStr">
        <is>
          <t>872</t>
        </is>
      </c>
      <c r="B254" s="6" t="inlineStr">
        <is>
          <t>23/02/2026</t>
        </is>
      </c>
      <c r="C254" s="6" t="inlineStr">
        <is>
          <t>DIGI FEBRERO</t>
        </is>
      </c>
      <c r="D254" s="6" t="inlineStr">
        <is>
          <t>DIGI SPAIN TELECOM SL</t>
        </is>
      </c>
      <c r="E254" s="4" t="n">
        <v>9.09</v>
      </c>
      <c r="F254" s="6" t="n"/>
    </row>
    <row r="255">
      <c r="A255" s="6" t="inlineStr">
        <is>
          <t>871</t>
        </is>
      </c>
      <c r="B255" s="6" t="inlineStr">
        <is>
          <t>23/02/2026</t>
        </is>
      </c>
      <c r="C255" s="6" t="inlineStr">
        <is>
          <t>CAPAZO / BORRIQUETA / TAPA CONTADOR</t>
        </is>
      </c>
      <c r="D255" s="6" t="inlineStr">
        <is>
          <t>HIJOS DE JOSE BUSQUIER SL</t>
        </is>
      </c>
      <c r="E255" s="4" t="n">
        <v>143.47</v>
      </c>
      <c r="F255" s="6" t="n"/>
    </row>
    <row r="256">
      <c r="A256" s="6" t="inlineStr">
        <is>
          <t>870</t>
        </is>
      </c>
      <c r="B256" s="6" t="inlineStr">
        <is>
          <t>23/02/2026</t>
        </is>
      </c>
      <c r="C256" s="6" t="inlineStr">
        <is>
          <t>ESPATULA</t>
        </is>
      </c>
      <c r="D256" s="6" t="inlineStr">
        <is>
          <t>HIJOS DE JOSE BUSQUIER SL</t>
        </is>
      </c>
      <c r="E256" s="4" t="n">
        <v>54.51</v>
      </c>
      <c r="F256" s="6" t="n"/>
    </row>
    <row r="257">
      <c r="A257" s="6" t="inlineStr">
        <is>
          <t>866</t>
        </is>
      </c>
      <c r="B257" s="6" t="inlineStr">
        <is>
          <t>16/02/2026</t>
        </is>
      </c>
      <c r="C257" s="6" t="inlineStr">
        <is>
          <t>MATERIAL VARIO</t>
        </is>
      </c>
      <c r="D257" s="6" t="inlineStr">
        <is>
          <t>FERRELDA SL</t>
        </is>
      </c>
      <c r="E257" s="4" t="n">
        <v>44.67</v>
      </c>
      <c r="F257" s="6" t="n"/>
    </row>
    <row r="258">
      <c r="A258" s="6" t="inlineStr">
        <is>
          <t>863</t>
        </is>
      </c>
      <c r="B258" s="6" t="inlineStr">
        <is>
          <t>24/02/2026</t>
        </is>
      </c>
      <c r="C258" s="6" t="inlineStr">
        <is>
          <t>TALADRO ATORNILLADOR</t>
        </is>
      </c>
      <c r="D258" s="6" t="inlineStr">
        <is>
          <t>FERRELDA SL</t>
        </is>
      </c>
      <c r="E258" s="4" t="n">
        <v>57.85</v>
      </c>
      <c r="F258" s="6" t="n"/>
    </row>
    <row r="259">
      <c r="A259" s="6" t="inlineStr">
        <is>
          <t>857</t>
        </is>
      </c>
      <c r="B259" s="6" t="inlineStr">
        <is>
          <t>16/02/2026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107.46</v>
      </c>
      <c r="F259" s="6" t="n"/>
    </row>
    <row r="260">
      <c r="A260" s="6" t="inlineStr">
        <is>
          <t>842</t>
        </is>
      </c>
      <c r="B260" s="6" t="inlineStr">
        <is>
          <t>21/01/2026</t>
        </is>
      </c>
      <c r="C260" s="6" t="inlineStr">
        <is>
          <t>DISCO DE CORTE</t>
        </is>
      </c>
      <c r="D260" s="6" t="inlineStr">
        <is>
          <t>FERRETERIA-VISTA ALEGRE SL</t>
        </is>
      </c>
      <c r="E260" s="4" t="n">
        <v>8.26</v>
      </c>
      <c r="F260" s="6" t="n"/>
    </row>
    <row r="261">
      <c r="A261" s="6" t="inlineStr">
        <is>
          <t>826</t>
        </is>
      </c>
      <c r="B261" s="6" t="inlineStr">
        <is>
          <t>21/01/2026</t>
        </is>
      </c>
      <c r="C261" s="6" t="inlineStr">
        <is>
          <t>HOLDED ENERO</t>
        </is>
      </c>
      <c r="D261" s="6" t="inlineStr">
        <is>
          <t>HOLDED TECHNOLOGIES SL.</t>
        </is>
      </c>
      <c r="E261" s="4" t="n">
        <v>59</v>
      </c>
      <c r="F261" s="6" t="n"/>
    </row>
    <row r="262">
      <c r="A262" s="7" t="n"/>
      <c r="B262" s="7" t="n"/>
      <c r="C262" s="7" t="inlineStr">
        <is>
          <t>TOTAL GASTOS GENERALES</t>
        </is>
      </c>
      <c r="D262" s="7" t="n"/>
      <c r="E262" s="8">
        <f>SUM(E4:E261)</f>
        <v/>
      </c>
      <c r="F262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D5/D31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D6/D31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D7/D31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D8/D31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D9/D31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D10/D31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D11/D31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D12/D31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D13/D31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D14/D31</f>
        <v/>
      </c>
    </row>
    <row r="15">
      <c r="A15" s="6" t="inlineStr">
        <is>
          <t>24016 - PLAZA CIRCULAR</t>
        </is>
      </c>
      <c r="B15" s="6" t="n">
        <v>2376</v>
      </c>
      <c r="C15" s="4" t="n">
        <v>20</v>
      </c>
      <c r="D15" s="4">
        <f>B15*C15</f>
        <v/>
      </c>
      <c r="E15" s="6" t="n">
        <v>2026</v>
      </c>
      <c r="F15" s="6">
        <f>D15/D31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D16/D31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D17/D31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D18/D31</f>
        <v/>
      </c>
    </row>
    <row r="19">
      <c r="A19" s="6" t="inlineStr">
        <is>
          <t>26011 - CASTILLO DE ELDA</t>
        </is>
      </c>
      <c r="B19" s="6" t="n">
        <v>642</v>
      </c>
      <c r="C19" s="4" t="n">
        <v>20</v>
      </c>
      <c r="D19" s="4">
        <f>B19*C19</f>
        <v/>
      </c>
      <c r="E19" s="6" t="n">
        <v>2026</v>
      </c>
      <c r="F19" s="6">
        <f>D19/D31</f>
        <v/>
      </c>
    </row>
    <row r="20">
      <c r="A20" s="6" t="inlineStr">
        <is>
          <t>26009 - OBRA CALLE CARTAGENA, MURCIA</t>
        </is>
      </c>
      <c r="B20" s="6" t="n">
        <v>1136</v>
      </c>
      <c r="C20" s="4" t="n">
        <v>20</v>
      </c>
      <c r="D20" s="4">
        <f>B20*C20</f>
        <v/>
      </c>
      <c r="E20" s="6" t="n">
        <v>2026</v>
      </c>
      <c r="F20" s="6">
        <f>D20/D31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D21/D31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D22/D31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D23/D31</f>
        <v/>
      </c>
    </row>
    <row r="24">
      <c r="A24" s="6" t="inlineStr">
        <is>
          <t>26007 - OBRA HELENA Y JACOBO</t>
        </is>
      </c>
      <c r="B24" s="6" t="n">
        <v>84</v>
      </c>
      <c r="C24" s="4" t="n">
        <v>20</v>
      </c>
      <c r="D24" s="4">
        <f>B24*C24</f>
        <v/>
      </c>
      <c r="E24" s="6" t="n">
        <v>2026</v>
      </c>
      <c r="F24" s="6">
        <f>D24/D31</f>
        <v/>
      </c>
    </row>
    <row r="25">
      <c r="A25" s="6" t="inlineStr">
        <is>
          <t>26008 - OBRA ALBERTO Y EVA - C/ RIO SEGURA, 4. SAN VICENTE DEL RASPEIG</t>
        </is>
      </c>
      <c r="B25" s="6" t="n">
        <v>521</v>
      </c>
      <c r="C25" s="4" t="n">
        <v>20</v>
      </c>
      <c r="D25" s="4">
        <f>B25*C25</f>
        <v/>
      </c>
      <c r="E25" s="6" t="n">
        <v>2026</v>
      </c>
      <c r="F25" s="6">
        <f>D25/D31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D26/D31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D27/D31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D28/D31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D29/D31</f>
        <v/>
      </c>
    </row>
    <row r="30">
      <c r="A30" s="6" t="inlineStr">
        <is>
          <t>26022 - OBRA COLEGIO MONOVAR</t>
        </is>
      </c>
      <c r="B30" s="6" t="n">
        <v>18</v>
      </c>
      <c r="C30" s="4" t="n">
        <v>20</v>
      </c>
      <c r="D30" s="4">
        <f>B30*C30</f>
        <v/>
      </c>
      <c r="E30" s="6" t="n">
        <v>2026</v>
      </c>
      <c r="F30" s="6">
        <f>D30/D31</f>
        <v/>
      </c>
    </row>
    <row r="31">
      <c r="A31" s="7" t="inlineStr">
        <is>
          <t>TOTAL MANO DE OBRA</t>
        </is>
      </c>
      <c r="B31" s="7">
        <f>SUM(B5:B30)</f>
        <v/>
      </c>
      <c r="C31" s="8" t="n"/>
      <c r="D31" s="8">
        <f>SUM(D5:D30)</f>
        <v/>
      </c>
      <c r="E31" s="7" t="n"/>
      <c r="F31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188391.8</v>
      </c>
      <c r="C4" s="6" t="n"/>
    </row>
    <row r="5">
      <c r="A5" s="6" t="inlineStr">
        <is>
          <t>24009 - FORMENTERA 12, JOAQUIN</t>
        </is>
      </c>
      <c r="B5" s="4" t="n">
        <v>182760.5</v>
      </c>
      <c r="C5" s="6" t="n"/>
    </row>
    <row r="6">
      <c r="A6" s="6" t="inlineStr">
        <is>
          <t>24002 - FORMENTERA 14, JUANMA</t>
        </is>
      </c>
      <c r="B6" s="4" t="n">
        <v>71227.93999999999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14267.7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26001 - SANTA ROSA</t>
        </is>
      </c>
      <c r="B12" s="4" t="n">
        <v>10149.75</v>
      </c>
      <c r="C12" s="6" t="n"/>
    </row>
    <row r="13">
      <c r="A13" s="6" t="inlineStr">
        <is>
          <t>24017 - CEMENTERIO, MURCIA</t>
        </is>
      </c>
      <c r="B13" s="4" t="n">
        <v>7585.7</v>
      </c>
      <c r="C13" s="6" t="n"/>
    </row>
    <row r="14">
      <c r="A14" s="6" t="inlineStr">
        <is>
          <t>24015 - LA PARTE DIFICIL, ALICANTE</t>
        </is>
      </c>
      <c r="B14" s="4" t="n">
        <v>7190.210000000001</v>
      </c>
      <c r="C14" s="6" t="n"/>
    </row>
    <row r="15">
      <c r="A15" s="6" t="inlineStr">
        <is>
          <t>26020 - OBRA CARLA, PINOSO</t>
        </is>
      </c>
      <c r="B15" s="4" t="n">
        <v>5251.8</v>
      </c>
      <c r="C15" s="6" t="n"/>
    </row>
    <row r="16">
      <c r="A16" s="6" t="inlineStr">
        <is>
          <t>26009 - OBRA CALLE CARTAGENA, MURCIA</t>
        </is>
      </c>
      <c r="B16" s="4" t="n">
        <v>4669.49</v>
      </c>
      <c r="C16" s="6" t="n"/>
    </row>
    <row r="17">
      <c r="A17" s="6" t="inlineStr">
        <is>
          <t>2600 - OBRA MURO CAMPO ARANTXA</t>
        </is>
      </c>
      <c r="B17" s="4" t="n">
        <v>4230.33</v>
      </c>
      <c r="C17" s="6" t="n"/>
    </row>
    <row r="18">
      <c r="A18" s="6" t="inlineStr">
        <is>
          <t>26002 - GARAJE MURCIA</t>
        </is>
      </c>
      <c r="B18" s="4" t="n">
        <v>3350.48</v>
      </c>
      <c r="C18" s="6" t="n"/>
    </row>
    <row r="19">
      <c r="A19" s="6" t="inlineStr">
        <is>
          <t>24001 - OBRA C/IBIZA, ASPE (CASA CABO)</t>
        </is>
      </c>
      <c r="B19" s="4" t="n">
        <v>3248.2</v>
      </c>
      <c r="C19" s="6" t="n"/>
    </row>
    <row r="20">
      <c r="A20" s="6" t="inlineStr">
        <is>
          <t>2400 - ARREGLOS OBRAS ARAQUE Y MAQUEDA</t>
        </is>
      </c>
      <c r="B20" s="4" t="n">
        <v>3129</v>
      </c>
      <c r="C20" s="6" t="n"/>
    </row>
    <row r="21">
      <c r="A21" s="6" t="inlineStr">
        <is>
          <t>26017 - OBRA MADRE MARIA PEREAMAR</t>
        </is>
      </c>
      <c r="B21" s="4" t="n">
        <v>2767.17</v>
      </c>
      <c r="C21" s="6" t="n"/>
    </row>
    <row r="22">
      <c r="A22" s="6" t="inlineStr">
        <is>
          <t>26007 - OBRA HELENA Y JACOBO</t>
        </is>
      </c>
      <c r="B22" s="4" t="n">
        <v>2270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24008 - OBRA C/HUERTO CAPUCHINOS, MURCIA (COLEGIO MAYOR)</t>
        </is>
      </c>
      <c r="B26" s="4" t="n">
        <v>67.55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57.21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49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(492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1.758,00</t>
        </is>
      </c>
      <c r="C41" s="6" t="inlineStr">
        <is>
          <t>23/06/2026</t>
        </is>
      </c>
      <c r="D41" s="6" t="inlineStr">
        <is>
          <t>INSTALACIÓN ANTENA PARABÓLICA</t>
        </is>
      </c>
      <c r="E41" s="6" t="inlineStr">
        <is>
          <t>GINES MARCO PEREA</t>
        </is>
      </c>
      <c r="F41" s="6" t="inlineStr">
        <is>
          <t>IMPUTADO</t>
        </is>
      </c>
      <c r="G41" s="4" t="n">
        <v>611</v>
      </c>
    </row>
    <row r="42">
      <c r="A42" s="6" t="inlineStr">
        <is>
          <t>24002 - FORMENTERA 14, JUANMA</t>
        </is>
      </c>
      <c r="B42" s="6" t="inlineStr">
        <is>
          <t>498</t>
        </is>
      </c>
      <c r="C42" s="6" t="inlineStr">
        <is>
          <t>09/01/2026</t>
        </is>
      </c>
      <c r="D42" s="6" t="inlineStr">
        <is>
          <t>TAPA ARQUETA</t>
        </is>
      </c>
      <c r="E42" s="6" t="inlineStr">
        <is>
          <t>ALEJANDRO CUTILLAS CAÑABATE</t>
        </is>
      </c>
      <c r="F42" s="6" t="inlineStr">
        <is>
          <t>IMPUTADO</t>
        </is>
      </c>
      <c r="G42" s="4" t="n">
        <v>493.9</v>
      </c>
    </row>
    <row r="43">
      <c r="A43" s="6" t="inlineStr">
        <is>
          <t>24002 - FORMENTERA 14, JUANMA</t>
        </is>
      </c>
      <c r="B43" s="6" t="inlineStr">
        <is>
          <t>1.210,00</t>
        </is>
      </c>
      <c r="C43" s="6" t="inlineStr">
        <is>
          <t>26/03/2026</t>
        </is>
      </c>
      <c r="D43" s="6" t="inlineStr">
        <is>
          <t>ENSAYO BLOWER-DOOR</t>
        </is>
      </c>
      <c r="E43" s="6" t="inlineStr">
        <is>
          <t>LABORATORIO DE INGENIERIA Y MEDIO AMBIENTE SA.</t>
        </is>
      </c>
      <c r="F43" s="6" t="inlineStr">
        <is>
          <t>IMPUTADO</t>
        </is>
      </c>
      <c r="G43" s="4" t="n">
        <v>450</v>
      </c>
    </row>
    <row r="44">
      <c r="A44" s="6" t="inlineStr">
        <is>
          <t>24002 - FORMENTERA 14, JUANMA</t>
        </is>
      </c>
      <c r="B44" s="6" t="inlineStr">
        <is>
          <t>1.163,00</t>
        </is>
      </c>
      <c r="C44" s="6" t="inlineStr">
        <is>
          <t>18/03/2026</t>
        </is>
      </c>
      <c r="D44" s="6" t="inlineStr">
        <is>
          <t>PLADUR #montaje,  mano de obra cerramiento de pladur</t>
        </is>
      </c>
      <c r="E44" s="6" t="inlineStr">
        <is>
          <t>FRANCISCO JAVIER GONZALEZ MARTINEZ</t>
        </is>
      </c>
      <c r="F44" s="6" t="inlineStr">
        <is>
          <t>IMPUTADO</t>
        </is>
      </c>
      <c r="G44" s="4" t="n">
        <v>425</v>
      </c>
    </row>
    <row r="45">
      <c r="A45" s="6" t="inlineStr">
        <is>
          <t>24002 - FORMENTERA 14, JUANMA</t>
        </is>
      </c>
      <c r="B45" s="6" t="inlineStr">
        <is>
          <t>1.118,00</t>
        </is>
      </c>
      <c r="C45" s="6" t="inlineStr">
        <is>
          <t>04/02/2026</t>
        </is>
      </c>
      <c r="D45" s="6" t="inlineStr">
        <is>
          <t>CÉSPED ARTIFICIAL</t>
        </is>
      </c>
      <c r="E45" s="6" t="inlineStr">
        <is>
          <t>ECONATURA DESIGN SL</t>
        </is>
      </c>
      <c r="F45" s="6" t="inlineStr">
        <is>
          <t>IMPUTADO</t>
        </is>
      </c>
      <c r="G45" s="4" t="n">
        <v>405.45</v>
      </c>
    </row>
    <row r="46">
      <c r="A46" s="6" t="inlineStr">
        <is>
          <t>24002 - FORMENTERA 14, JUANMA</t>
        </is>
      </c>
      <c r="B46" s="6" t="inlineStr">
        <is>
          <t>1.119,00</t>
        </is>
      </c>
      <c r="C46" s="6" t="inlineStr">
        <is>
          <t>29/01/2026</t>
        </is>
      </c>
      <c r="D46" s="6" t="inlineStr">
        <is>
          <t>GRIFERIA EMPOTRADA</t>
        </is>
      </c>
      <c r="E46" s="6" t="inlineStr">
        <is>
          <t>SALTOKI ELCHE SL.</t>
        </is>
      </c>
      <c r="F46" s="6" t="inlineStr">
        <is>
          <t>IMPUTADO</t>
        </is>
      </c>
      <c r="G46" s="4" t="n">
        <v>368.5</v>
      </c>
    </row>
    <row r="47">
      <c r="A47" s="6" t="inlineStr">
        <is>
          <t>24002 - FORMENTERA 14, JUANMA</t>
        </is>
      </c>
      <c r="B47" s="6" t="inlineStr">
        <is>
          <t>1.781,00</t>
        </is>
      </c>
      <c r="C47" s="6" t="inlineStr">
        <is>
          <t>30/06/2026</t>
        </is>
      </c>
      <c r="D47" s="6" t="inlineStr">
        <is>
          <t>50% CONTROL EXTERNO CERTIFICACION ENERGETICA</t>
        </is>
      </c>
      <c r="E47" s="6" t="inlineStr">
        <is>
          <t>LABORATORIO DE INGENIERIA Y MEDIO AMBIENTE SA.</t>
        </is>
      </c>
      <c r="F47" s="6" t="inlineStr">
        <is>
          <t>IMPUTADO</t>
        </is>
      </c>
      <c r="G47" s="4" t="n">
        <v>355</v>
      </c>
    </row>
    <row r="48">
      <c r="A48" s="6" t="inlineStr">
        <is>
          <t>24002 - FORMENTERA 14, JUANMA</t>
        </is>
      </c>
      <c r="B48" s="6" t="inlineStr">
        <is>
          <t>1.168,00</t>
        </is>
      </c>
      <c r="C48" s="6" t="inlineStr">
        <is>
          <t>12/03/2026</t>
        </is>
      </c>
      <c r="D48" s="6" t="inlineStr">
        <is>
          <t>CONTROL EXTERNO #eficiencia energética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1.109,00</t>
        </is>
      </c>
      <c r="C49" s="6" t="inlineStr">
        <is>
          <t>15/02/2026</t>
        </is>
      </c>
      <c r="D49" s="6" t="inlineStr">
        <is>
          <t>CONTENEDORES</t>
        </is>
      </c>
      <c r="E49" s="6" t="inlineStr">
        <is>
          <t>CONTENEDORES Y EXCAVACIONES ASPE SL.</t>
        </is>
      </c>
      <c r="F49" s="6" t="inlineStr">
        <is>
          <t>IMPUTADO</t>
        </is>
      </c>
      <c r="G49" s="4" t="n">
        <v>230</v>
      </c>
    </row>
    <row r="50">
      <c r="A50" s="6" t="inlineStr">
        <is>
          <t>24002 - FORMENTERA 14, JUANMA</t>
        </is>
      </c>
      <c r="B50" s="6" t="inlineStr">
        <is>
          <t>1.211,00</t>
        </is>
      </c>
      <c r="C50" s="6" t="inlineStr">
        <is>
          <t>25/03/2026</t>
        </is>
      </c>
      <c r="D50" s="6" t="inlineStr">
        <is>
          <t>RODAPIE EXTERIOR #monocapa exterior</t>
        </is>
      </c>
      <c r="E50" s="6" t="inlineStr">
        <is>
          <t>MARMOLES FEROSA SL.</t>
        </is>
      </c>
      <c r="F50" s="6" t="inlineStr">
        <is>
          <t>IMPUTADO</t>
        </is>
      </c>
      <c r="G50" s="4" t="n">
        <v>143.28</v>
      </c>
    </row>
    <row r="51">
      <c r="A51" s="6" t="inlineStr">
        <is>
          <t>24002 - FORMENTERA 14, JUANMA</t>
        </is>
      </c>
      <c r="B51" s="6" t="inlineStr">
        <is>
          <t>856</t>
        </is>
      </c>
      <c r="C51" s="6" t="inlineStr">
        <is>
          <t>13/02/2026</t>
        </is>
      </c>
      <c r="D51" s="6" t="inlineStr">
        <is>
          <t>MALLAZO IMPRESO</t>
        </is>
      </c>
      <c r="E51" s="6" t="inlineStr">
        <is>
          <t>FERRALLAS MONFORTE DEL CID SL.</t>
        </is>
      </c>
      <c r="F51" s="6" t="inlineStr">
        <is>
          <t>IMPUTADO</t>
        </is>
      </c>
      <c r="G51" s="4" t="n">
        <v>118.8</v>
      </c>
    </row>
    <row r="52">
      <c r="A52" s="6" t="inlineStr">
        <is>
          <t>24002 - FORMENTERA 14, JUANMA</t>
        </is>
      </c>
      <c r="B52" s="6" t="inlineStr">
        <is>
          <t>618</t>
        </is>
      </c>
      <c r="C52" s="6" t="inlineStr">
        <is>
          <t>31/01/2026</t>
        </is>
      </c>
      <c r="D52" s="6" t="inlineStr">
        <is>
          <t>MATERIAL VARIO</t>
        </is>
      </c>
      <c r="E52" s="6" t="inlineStr">
        <is>
          <t>CONSYDECOR SL</t>
        </is>
      </c>
      <c r="F52" s="6" t="inlineStr">
        <is>
          <t>IMPUTADO</t>
        </is>
      </c>
      <c r="G52" s="4" t="n">
        <v>84.31999999999999</v>
      </c>
    </row>
    <row r="53">
      <c r="A53" s="6" t="inlineStr">
        <is>
          <t>24002 - FORMENTERA 14, JUANMA</t>
        </is>
      </c>
      <c r="B53" s="6" t="inlineStr">
        <is>
          <t>1.215,00</t>
        </is>
      </c>
      <c r="C53" s="6" t="inlineStr">
        <is>
          <t>02/04/2026</t>
        </is>
      </c>
      <c r="D53" s="6" t="inlineStr">
        <is>
          <t>VARIOS JARDIN</t>
        </is>
      </c>
      <c r="E53" s="6" t="inlineStr">
        <is>
          <t>MARIA DOLORES ALDEGUER CANO</t>
        </is>
      </c>
      <c r="F53" s="6" t="inlineStr">
        <is>
          <t>IMPUTADO</t>
        </is>
      </c>
      <c r="G53" s="4" t="n">
        <v>74.7</v>
      </c>
    </row>
    <row r="54">
      <c r="A54" s="6" t="inlineStr">
        <is>
          <t>24002 - FORMENTERA 14, JUANMA</t>
        </is>
      </c>
      <c r="B54" s="6" t="inlineStr">
        <is>
          <t>605</t>
        </is>
      </c>
      <c r="C54" s="6" t="inlineStr">
        <is>
          <t>03/02/2026</t>
        </is>
      </c>
      <c r="D54" s="6" t="inlineStr">
        <is>
          <t>ARQUETA</t>
        </is>
      </c>
      <c r="E54" s="6" t="inlineStr">
        <is>
          <t>SANIPLAST SOLUCIONES SOSTENIBLES DEL AGUA SL</t>
        </is>
      </c>
      <c r="F54" s="6" t="inlineStr">
        <is>
          <t>IMPUTADO</t>
        </is>
      </c>
      <c r="G54" s="4" t="n">
        <v>60.71</v>
      </c>
    </row>
    <row r="55">
      <c r="A55" s="6" t="inlineStr">
        <is>
          <t>24002 - FORMENTERA 14, JUANMA</t>
        </is>
      </c>
      <c r="B55" s="6" t="inlineStr">
        <is>
          <t>632</t>
        </is>
      </c>
      <c r="C55" s="6" t="inlineStr">
        <is>
          <t>23/01/2026</t>
        </is>
      </c>
      <c r="D55" s="6" t="inlineStr">
        <is>
          <t>PINTURA</t>
        </is>
      </c>
      <c r="E55" s="6" t="inlineStr">
        <is>
          <t>DECOBRIC SANZ SL</t>
        </is>
      </c>
      <c r="F55" s="6" t="inlineStr">
        <is>
          <t>IMPUTADO</t>
        </is>
      </c>
      <c r="G55" s="4" t="n">
        <v>40.79</v>
      </c>
    </row>
    <row r="56">
      <c r="A56" s="6" t="inlineStr">
        <is>
          <t>24002 - FORMENTERA 14, JUANMA</t>
        </is>
      </c>
      <c r="B56" s="6" t="inlineStr">
        <is>
          <t>583</t>
        </is>
      </c>
      <c r="C56" s="6" t="inlineStr">
        <is>
          <t>21/01/2026</t>
        </is>
      </c>
      <c r="D56" s="6" t="inlineStr">
        <is>
          <t>CAPAZOS PVC NEGRO</t>
        </is>
      </c>
      <c r="E56" s="6" t="inlineStr"/>
      <c r="F56" s="6" t="inlineStr">
        <is>
          <t>IMPUTADO</t>
        </is>
      </c>
      <c r="G56" s="4" t="n">
        <v>19.59</v>
      </c>
    </row>
    <row r="57">
      <c r="A57" s="6" t="inlineStr">
        <is>
          <t>24002 - FORMENTERA 14, JUANMA</t>
        </is>
      </c>
      <c r="B57" s="6" t="inlineStr">
        <is>
          <t>1.239,00</t>
        </is>
      </c>
      <c r="C57" s="6" t="inlineStr">
        <is>
          <t>26/03/2026</t>
        </is>
      </c>
      <c r="D57" s="6" t="inlineStr">
        <is>
          <t>TORNILLERIA ARQUETAS</t>
        </is>
      </c>
      <c r="E57" s="6" t="inlineStr">
        <is>
          <t>SUMINISTROS INDUSTRIALES FARELL SA</t>
        </is>
      </c>
      <c r="F57" s="6" t="inlineStr">
        <is>
          <t>IMPUTADO</t>
        </is>
      </c>
      <c r="G57" s="4" t="n">
        <v>10.39</v>
      </c>
    </row>
    <row r="58">
      <c r="A58" s="6" t="inlineStr">
        <is>
          <t>24002 - FORMENTERA 14, JUANMA</t>
        </is>
      </c>
      <c r="B58" s="6" t="inlineStr">
        <is>
          <t>1.240,00</t>
        </is>
      </c>
      <c r="C58" s="6" t="inlineStr">
        <is>
          <t>26/03/2026</t>
        </is>
      </c>
      <c r="D58" s="6" t="inlineStr">
        <is>
          <t>MATERIAL #albañileria</t>
        </is>
      </c>
      <c r="E58" s="6" t="inlineStr">
        <is>
          <t>LEROY MERLIN ESPAÑA SL</t>
        </is>
      </c>
      <c r="F58" s="6" t="inlineStr">
        <is>
          <t>IMPUTADO</t>
        </is>
      </c>
      <c r="G58" s="4" t="n">
        <v>9.369999999999999</v>
      </c>
    </row>
    <row r="59">
      <c r="A59" s="6" t="inlineStr">
        <is>
          <t>24008 - OBRA C/HUERTO CAPUCHINOS, MURCIA (COLEGIO MAYOR)</t>
        </is>
      </c>
      <c r="B59" s="6" t="inlineStr">
        <is>
          <t>625</t>
        </is>
      </c>
      <c r="C59" s="6" t="inlineStr">
        <is>
          <t>30/01/2026</t>
        </is>
      </c>
      <c r="D59" s="6" t="inlineStr">
        <is>
          <t>MATERIAL VARIO</t>
        </is>
      </c>
      <c r="E59" s="6" t="inlineStr">
        <is>
          <t>BRICOLAJE BRICOMAN SLU</t>
        </is>
      </c>
      <c r="F59" s="6" t="inlineStr">
        <is>
          <t>SIN IMPUTAR</t>
        </is>
      </c>
      <c r="G59" s="4" t="n">
        <v>67.55</v>
      </c>
    </row>
    <row r="60">
      <c r="A60" s="6" t="inlineStr">
        <is>
          <t>24009 - FORMENTERA 12, JOAQUIN</t>
        </is>
      </c>
      <c r="B60" s="6" t="inlineStr">
        <is>
          <t>1.096,00</t>
        </is>
      </c>
      <c r="C60" s="6" t="inlineStr">
        <is>
          <t>10/03/2026</t>
        </is>
      </c>
      <c r="D60" s="6" t="inlineStr">
        <is>
          <t>PRESUPUESTO 105197</t>
        </is>
      </c>
      <c r="E60" s="6" t="inlineStr">
        <is>
          <t>SALTOKI ELCHE SL.</t>
        </is>
      </c>
      <c r="F60" s="6" t="inlineStr">
        <is>
          <t>IMPUTADO</t>
        </is>
      </c>
      <c r="G60" s="4" t="n">
        <v>30088.56</v>
      </c>
    </row>
    <row r="61">
      <c r="A61" s="6" t="inlineStr">
        <is>
          <t>24009 - FORMENTERA 12, JOAQUIN</t>
        </is>
      </c>
      <c r="B61" s="6" t="inlineStr">
        <is>
          <t>1.830,00</t>
        </is>
      </c>
      <c r="C61" s="6" t="inlineStr">
        <is>
          <t>17/07/2026</t>
        </is>
      </c>
      <c r="D61" s="6" t="inlineStr">
        <is>
          <t>VENTANAS-ESTORES-PUERTA SECCIONAL</t>
        </is>
      </c>
      <c r="E61" s="6" t="inlineStr">
        <is>
          <t>ALEJANDRO CUTILLAS CAÑABATE</t>
        </is>
      </c>
      <c r="F61" s="6" t="inlineStr">
        <is>
          <t>IMPUTADO</t>
        </is>
      </c>
      <c r="G61" s="4" t="n">
        <v>20675.8</v>
      </c>
    </row>
    <row r="62">
      <c r="A62" s="6" t="inlineStr">
        <is>
          <t>24009 - FORMENTERA 12, JOAQUIN</t>
        </is>
      </c>
      <c r="B62" s="6" t="inlineStr">
        <is>
          <t>1.273,00</t>
        </is>
      </c>
      <c r="C62" s="6" t="inlineStr">
        <is>
          <t>06/04/2026</t>
        </is>
      </c>
      <c r="D62" s="6" t="inlineStr">
        <is>
          <t>PAGO 50¬ VENTANAS #ventanas/cristales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13268.27</v>
      </c>
    </row>
    <row r="63">
      <c r="A63" s="6" t="inlineStr">
        <is>
          <t>24009 - FORMENTERA 12, JOAQUIN</t>
        </is>
      </c>
      <c r="B63" s="6" t="inlineStr">
        <is>
          <t>1.655,00</t>
        </is>
      </c>
      <c r="C63" s="6" t="inlineStr">
        <is>
          <t>30/05/2026</t>
        </is>
      </c>
      <c r="D63" s="6" t="inlineStr">
        <is>
          <t>ALICATADO Y WC</t>
        </is>
      </c>
      <c r="E63" s="6" t="inlineStr">
        <is>
          <t>SALTOKI ALICANTE SL.</t>
        </is>
      </c>
      <c r="F63" s="6" t="inlineStr">
        <is>
          <t>IMPUTADO</t>
        </is>
      </c>
      <c r="G63" s="4" t="n">
        <v>9947.950000000001</v>
      </c>
    </row>
    <row r="64">
      <c r="A64" s="6" t="inlineStr">
        <is>
          <t>24009 - FORMENTERA 12, JOAQUIN</t>
        </is>
      </c>
      <c r="B64" s="6" t="inlineStr">
        <is>
          <t>1.200,00</t>
        </is>
      </c>
      <c r="C64" s="6" t="inlineStr">
        <is>
          <t>28/03/2026</t>
        </is>
      </c>
      <c r="D64" s="6" t="inlineStr">
        <is>
          <t>GRIFERIA</t>
        </is>
      </c>
      <c r="E64" s="6" t="inlineStr">
        <is>
          <t>SALTOKI ELCHE SL.</t>
        </is>
      </c>
      <c r="F64" s="6" t="inlineStr">
        <is>
          <t>IMPUTADO</t>
        </is>
      </c>
      <c r="G64" s="4" t="n">
        <v>8750.07</v>
      </c>
    </row>
    <row r="65">
      <c r="A65" s="6" t="inlineStr">
        <is>
          <t>24009 - FORMENTERA 12, JOAQUIN</t>
        </is>
      </c>
      <c r="B65" s="6" t="inlineStr">
        <is>
          <t>1.763,00</t>
        </is>
      </c>
      <c r="C65" s="6" t="inlineStr">
        <is>
          <t>27/06/2026</t>
        </is>
      </c>
      <c r="D65" s="6" t="inlineStr">
        <is>
          <t>ALBARANES ALICANTE</t>
        </is>
      </c>
      <c r="E65" s="6" t="inlineStr">
        <is>
          <t>SALTOKI ALICANTE SL.</t>
        </is>
      </c>
      <c r="F65" s="6" t="inlineStr">
        <is>
          <t>IMPUTADO</t>
        </is>
      </c>
      <c r="G65" s="4" t="n">
        <v>6084.74</v>
      </c>
    </row>
    <row r="66">
      <c r="A66" s="6" t="inlineStr">
        <is>
          <t>24009 - FORMENTERA 12, JOAQUIN</t>
        </is>
      </c>
      <c r="B66" s="6" t="inlineStr">
        <is>
          <t>1.488,00</t>
        </is>
      </c>
      <c r="C66" s="6" t="inlineStr">
        <is>
          <t>18/04/2026</t>
        </is>
      </c>
      <c r="D66" s="6" t="inlineStr">
        <is>
          <t>PISO CASA PORCELANICO #albañileria/suministro piso</t>
        </is>
      </c>
      <c r="E66" s="6" t="inlineStr">
        <is>
          <t>SALTOKI ELCHE SL.</t>
        </is>
      </c>
      <c r="F66" s="6" t="inlineStr">
        <is>
          <t>IMPUTADO</t>
        </is>
      </c>
      <c r="G66" s="4" t="n">
        <v>6000.19</v>
      </c>
    </row>
    <row r="67">
      <c r="A67" s="6" t="inlineStr">
        <is>
          <t>24009 - FORMENTERA 12, JOAQUIN</t>
        </is>
      </c>
      <c r="B67" s="6" t="inlineStr">
        <is>
          <t>861</t>
        </is>
      </c>
      <c r="C67" s="6" t="inlineStr">
        <is>
          <t>23/02/2026</t>
        </is>
      </c>
      <c r="D67" s="6" t="inlineStr">
        <is>
          <t>ELECTRICIDAD #ELECTRICIDAD</t>
        </is>
      </c>
      <c r="E67" s="6" t="inlineStr"/>
      <c r="F67" s="6" t="inlineStr">
        <is>
          <t>IMPUTADO</t>
        </is>
      </c>
      <c r="G67" s="4" t="n">
        <v>5700</v>
      </c>
    </row>
    <row r="68">
      <c r="A68" s="6" t="inlineStr">
        <is>
          <t>24009 - FORMENTERA 12, JOAQUIN</t>
        </is>
      </c>
      <c r="B68" s="6" t="inlineStr">
        <is>
          <t>1.809,00</t>
        </is>
      </c>
      <c r="C68" s="6" t="inlineStr">
        <is>
          <t>10/07/2026</t>
        </is>
      </c>
      <c r="D68" s="6" t="inlineStr">
        <is>
          <t>TECHOS PLADUR</t>
        </is>
      </c>
      <c r="E68" s="6" t="inlineStr">
        <is>
          <t>PLADINTER OBRAS Y SERVICIOS SL</t>
        </is>
      </c>
      <c r="F68" s="6" t="inlineStr">
        <is>
          <t>IMPUTADO</t>
        </is>
      </c>
      <c r="G68" s="4" t="n">
        <v>4168.81</v>
      </c>
    </row>
    <row r="69">
      <c r="A69" s="6" t="inlineStr">
        <is>
          <t>24009 - FORMENTERA 12, JOAQUIN</t>
        </is>
      </c>
      <c r="B69" s="6" t="inlineStr">
        <is>
          <t>1.789,00</t>
        </is>
      </c>
      <c r="C69" s="6" t="inlineStr">
        <is>
          <t>08/07/2026</t>
        </is>
      </c>
      <c r="D69" s="6" t="inlineStr">
        <is>
          <t>HORMIGON IMPRESO</t>
        </is>
      </c>
      <c r="E69" s="6" t="inlineStr">
        <is>
          <t>PAVIMPRESOS FORTUNA MMXVIII C.B.</t>
        </is>
      </c>
      <c r="F69" s="6" t="inlineStr">
        <is>
          <t>IMPUTADO</t>
        </is>
      </c>
      <c r="G69" s="4" t="n">
        <v>4000</v>
      </c>
    </row>
    <row r="70">
      <c r="A70" s="6" t="inlineStr">
        <is>
          <t>24009 - FORMENTERA 12, JOAQUIN</t>
        </is>
      </c>
      <c r="B70" s="6" t="inlineStr">
        <is>
          <t>1.598,00</t>
        </is>
      </c>
      <c r="C70" s="6" t="inlineStr">
        <is>
          <t>18/05/2026</t>
        </is>
      </c>
      <c r="D70" s="6" t="inlineStr">
        <is>
          <t>ESTORES</t>
        </is>
      </c>
      <c r="E70" s="6" t="inlineStr">
        <is>
          <t>ALEJANDRO CUTILLAS CAÑABATE</t>
        </is>
      </c>
      <c r="F70" s="6" t="inlineStr">
        <is>
          <t>IMPUTADO</t>
        </is>
      </c>
      <c r="G70" s="4" t="n">
        <v>3983.17</v>
      </c>
    </row>
    <row r="71">
      <c r="A71" s="6" t="inlineStr">
        <is>
          <t>24009 - FORMENTERA 12, JOAQUIN</t>
        </is>
      </c>
      <c r="B71" s="6" t="inlineStr">
        <is>
          <t>1.832,00</t>
        </is>
      </c>
      <c r="C71" s="6" t="inlineStr">
        <is>
          <t>17/07/2026</t>
        </is>
      </c>
      <c r="D71" s="6" t="inlineStr">
        <is>
          <t>PUERTA CORREDERA/VALLA METALICA/PUERTA PEATONAL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3983.16</v>
      </c>
    </row>
    <row r="72">
      <c r="A72" s="6" t="inlineStr">
        <is>
          <t>24009 - FORMENTERA 12, JOAQUIN</t>
        </is>
      </c>
      <c r="B72" s="6" t="inlineStr">
        <is>
          <t>1.762,00</t>
        </is>
      </c>
      <c r="C72" s="6" t="inlineStr">
        <is>
          <t>29/06/2026</t>
        </is>
      </c>
      <c r="D72" s="6" t="inlineStr">
        <is>
          <t>MUEBLES BAÑO</t>
        </is>
      </c>
      <c r="E72" s="6" t="inlineStr">
        <is>
          <t>BANOS BARCOS S.L.</t>
        </is>
      </c>
      <c r="F72" s="6" t="inlineStr">
        <is>
          <t>IMPUTADO</t>
        </is>
      </c>
      <c r="G72" s="4" t="n">
        <v>3983</v>
      </c>
    </row>
    <row r="73">
      <c r="A73" s="6" t="inlineStr">
        <is>
          <t>24009 - FORMENTERA 12, JOAQUIN</t>
        </is>
      </c>
      <c r="B73" s="6" t="inlineStr">
        <is>
          <t>1.888,00</t>
        </is>
      </c>
      <c r="C73" s="6" t="inlineStr">
        <is>
          <t>05/08/2026</t>
        </is>
      </c>
      <c r="D73" s="6" t="inlineStr">
        <is>
          <t>PINTORES</t>
        </is>
      </c>
      <c r="E73" s="6" t="inlineStr">
        <is>
          <t>PROYECTO PATIOS BLANCOS SL.</t>
        </is>
      </c>
      <c r="F73" s="6" t="inlineStr">
        <is>
          <t>IMPUTADO</t>
        </is>
      </c>
      <c r="G73" s="4" t="n">
        <v>3300</v>
      </c>
    </row>
    <row r="74">
      <c r="A74" s="6" t="inlineStr">
        <is>
          <t>24009 - FORMENTERA 12, JOAQUIN</t>
        </is>
      </c>
      <c r="B74" s="6" t="inlineStr">
        <is>
          <t>1.831,00</t>
        </is>
      </c>
      <c r="C74" s="6" t="inlineStr">
        <is>
          <t>17/07/2026</t>
        </is>
      </c>
      <c r="D74" s="6" t="inlineStr">
        <is>
          <t>MOSQUITERAS</t>
        </is>
      </c>
      <c r="E74" s="6" t="inlineStr">
        <is>
          <t>ALEJANDRO CUTILLAS CAÑABATE</t>
        </is>
      </c>
      <c r="F74" s="6" t="inlineStr">
        <is>
          <t>IMPUTADO</t>
        </is>
      </c>
      <c r="G74" s="4" t="n">
        <v>3197.92</v>
      </c>
    </row>
    <row r="75">
      <c r="A75" s="6" t="inlineStr">
        <is>
          <t>24009 - FORMENTERA 12, JOAQUIN</t>
        </is>
      </c>
      <c r="B75" s="6" t="inlineStr">
        <is>
          <t>1.734,00</t>
        </is>
      </c>
      <c r="C75" s="6" t="inlineStr">
        <is>
          <t>15/06/2026</t>
        </is>
      </c>
      <c r="D75" s="6" t="inlineStr">
        <is>
          <t>ROLLO CARTON / CINTA KREEP / BOMBAS AIRELESS WERKU</t>
        </is>
      </c>
      <c r="E75" s="6" t="inlineStr">
        <is>
          <t>SANZ BUILDING 2000 SL</t>
        </is>
      </c>
      <c r="F75" s="6" t="inlineStr">
        <is>
          <t>IMPUTADO</t>
        </is>
      </c>
      <c r="G75" s="4" t="n">
        <v>3115.28</v>
      </c>
    </row>
    <row r="76">
      <c r="A76" s="6" t="inlineStr">
        <is>
          <t>24009 - FORMENTERA 12, JOAQUIN</t>
        </is>
      </c>
      <c r="B76" s="6" t="inlineStr">
        <is>
          <t>899</t>
        </is>
      </c>
      <c r="C76" s="6" t="inlineStr">
        <is>
          <t>10/02/2026</t>
        </is>
      </c>
      <c r="D76" s="6" t="inlineStr">
        <is>
          <t>PRESUPUESTO Nº605458</t>
        </is>
      </c>
      <c r="E76" s="6" t="inlineStr">
        <is>
          <t>LEROY MERLIN ESPAÑA SL</t>
        </is>
      </c>
      <c r="F76" s="6" t="inlineStr">
        <is>
          <t>IMPUTADO</t>
        </is>
      </c>
      <c r="G76" s="4" t="n">
        <v>3063.04</v>
      </c>
    </row>
    <row r="77">
      <c r="A77" s="6" t="inlineStr">
        <is>
          <t>24009 - FORMENTERA 12, JOAQUIN</t>
        </is>
      </c>
      <c r="B77" s="6" t="inlineStr">
        <is>
          <t>1.780,00</t>
        </is>
      </c>
      <c r="C77" s="6" t="inlineStr">
        <is>
          <t>01/07/2026</t>
        </is>
      </c>
      <c r="D77" s="6" t="inlineStr">
        <is>
          <t>ELECTRICIDAD</t>
        </is>
      </c>
      <c r="E77" s="6" t="inlineStr">
        <is>
          <t>INSTALACIONES ELECTRICAS FERRIS, O.E.</t>
        </is>
      </c>
      <c r="F77" s="6" t="inlineStr">
        <is>
          <t>IMPUTADO</t>
        </is>
      </c>
      <c r="G77" s="4" t="n">
        <v>2900</v>
      </c>
    </row>
    <row r="78">
      <c r="A78" s="6" t="inlineStr">
        <is>
          <t>24009 - FORMENTERA 12, JOAQUIN</t>
        </is>
      </c>
      <c r="B78" s="6" t="inlineStr">
        <is>
          <t>1.657,00</t>
        </is>
      </c>
      <c r="C78" s="6" t="inlineStr">
        <is>
          <t>30/05/2026</t>
        </is>
      </c>
      <c r="D78" s="6" t="inlineStr">
        <is>
          <t>ALICATADO</t>
        </is>
      </c>
      <c r="E78" s="6" t="inlineStr">
        <is>
          <t>SALTOKI ELCHE SL.</t>
        </is>
      </c>
      <c r="F78" s="6" t="inlineStr">
        <is>
          <t>IMPUTADO</t>
        </is>
      </c>
      <c r="G78" s="4" t="n">
        <v>2752.91</v>
      </c>
    </row>
    <row r="79">
      <c r="A79" s="6" t="inlineStr">
        <is>
          <t>24009 - FORMENTERA 12, JOAQUIN</t>
        </is>
      </c>
      <c r="B79" s="6" t="inlineStr">
        <is>
          <t>1.662,00</t>
        </is>
      </c>
      <c r="C79" s="6" t="inlineStr">
        <is>
          <t>03/06/2026</t>
        </is>
      </c>
      <c r="D79" s="6" t="inlineStr">
        <is>
          <t>RODAPIÉ</t>
        </is>
      </c>
      <c r="E79" s="6" t="inlineStr">
        <is>
          <t>MARMISLAB SL.</t>
        </is>
      </c>
      <c r="F79" s="6" t="inlineStr">
        <is>
          <t>IMPUTADO</t>
        </is>
      </c>
      <c r="G79" s="4" t="n">
        <v>2700</v>
      </c>
    </row>
    <row r="80">
      <c r="A80" s="6" t="inlineStr">
        <is>
          <t>24009 - FORMENTERA 12, JOAQUIN</t>
        </is>
      </c>
      <c r="B80" s="6" t="inlineStr">
        <is>
          <t>1.803,00</t>
        </is>
      </c>
      <c r="C80" s="6" t="inlineStr">
        <is>
          <t>30/06/2026</t>
        </is>
      </c>
      <c r="D80" s="6" t="inlineStr">
        <is>
          <t>GRUA</t>
        </is>
      </c>
      <c r="E80" s="6" t="inlineStr">
        <is>
          <t>GRUAS Y MAQUINARIA PETREL SL</t>
        </is>
      </c>
      <c r="F80" s="6" t="inlineStr">
        <is>
          <t>IMPUTADO</t>
        </is>
      </c>
      <c r="G80" s="4" t="n">
        <v>2600</v>
      </c>
    </row>
    <row r="81">
      <c r="A81" s="6" t="inlineStr">
        <is>
          <t>24009 - FORMENTERA 12, JOAQUIN</t>
        </is>
      </c>
      <c r="B81" s="6" t="inlineStr">
        <is>
          <t>639</t>
        </is>
      </c>
      <c r="C81" s="6" t="inlineStr">
        <is>
          <t>15/01/2026</t>
        </is>
      </c>
      <c r="D81" s="6" t="inlineStr">
        <is>
          <t>MATERIAL VARIO</t>
        </is>
      </c>
      <c r="E81" s="6" t="inlineStr">
        <is>
          <t>CONSYDECOR SL</t>
        </is>
      </c>
      <c r="F81" s="6" t="inlineStr">
        <is>
          <t>IMPUTADO</t>
        </is>
      </c>
      <c r="G81" s="4" t="n">
        <v>2094.54</v>
      </c>
    </row>
    <row r="82">
      <c r="A82" s="6" t="inlineStr">
        <is>
          <t>24009 - FORMENTERA 12, JOAQUIN</t>
        </is>
      </c>
      <c r="B82" s="6" t="inlineStr">
        <is>
          <t>1.779,00</t>
        </is>
      </c>
      <c r="C82" s="6" t="inlineStr">
        <is>
          <t>18/05/2026</t>
        </is>
      </c>
      <c r="D82" s="6" t="inlineStr">
        <is>
          <t>PLADUR</t>
        </is>
      </c>
      <c r="E82" s="6" t="inlineStr">
        <is>
          <t>SAINT GOBAIN IDAPLAC SL</t>
        </is>
      </c>
      <c r="F82" s="6" t="inlineStr">
        <is>
          <t>IMPUTADO</t>
        </is>
      </c>
      <c r="G82" s="4" t="n">
        <v>2081.11</v>
      </c>
    </row>
    <row r="83">
      <c r="A83" s="6" t="inlineStr">
        <is>
          <t>24009 - FORMENTERA 12, JOAQUIN</t>
        </is>
      </c>
      <c r="B83" s="6" t="inlineStr">
        <is>
          <t>1.885,00</t>
        </is>
      </c>
      <c r="C83" s="6" t="inlineStr">
        <is>
          <t>23/08/2026</t>
        </is>
      </c>
      <c r="D83" s="6" t="inlineStr">
        <is>
          <t>RESINA GARAJE</t>
        </is>
      </c>
      <c r="E83" s="6" t="inlineStr">
        <is>
          <t>VICTOR MANUEL EGEA BARNEO</t>
        </is>
      </c>
      <c r="F83" s="6" t="inlineStr">
        <is>
          <t>SIN IMPUTAR</t>
        </is>
      </c>
      <c r="G83" s="4" t="n">
        <v>1860</v>
      </c>
    </row>
    <row r="84">
      <c r="A84" s="6" t="inlineStr">
        <is>
          <t>24009 - FORMENTERA 12, JOAQUIN</t>
        </is>
      </c>
      <c r="B84" s="6" t="inlineStr">
        <is>
          <t>1.586,00</t>
        </is>
      </c>
      <c r="C84" s="6" t="inlineStr">
        <is>
          <t>30/04/2026</t>
        </is>
      </c>
      <c r="D84" s="6" t="inlineStr">
        <is>
          <t>MATERIAL OBRA</t>
        </is>
      </c>
      <c r="E84" s="6" t="inlineStr">
        <is>
          <t>CONSYDECOR SL</t>
        </is>
      </c>
      <c r="F84" s="6" t="inlineStr">
        <is>
          <t>IMPUTADO</t>
        </is>
      </c>
      <c r="G84" s="4" t="n">
        <v>1855.94</v>
      </c>
    </row>
    <row r="85">
      <c r="A85" s="6" t="inlineStr">
        <is>
          <t>24009 - FORMENTERA 12, JOAQUIN</t>
        </is>
      </c>
      <c r="B85" s="6" t="inlineStr">
        <is>
          <t>630</t>
        </is>
      </c>
      <c r="C85" s="6" t="inlineStr">
        <is>
          <t>23/01/2026</t>
        </is>
      </c>
      <c r="D85" s="6" t="inlineStr">
        <is>
          <t>YTONG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</v>
      </c>
    </row>
    <row r="86">
      <c r="A86" s="6" t="inlineStr">
        <is>
          <t>24009 - FORMENTERA 12, JOAQUIN</t>
        </is>
      </c>
      <c r="B86" s="6" t="inlineStr">
        <is>
          <t>1.732,00</t>
        </is>
      </c>
      <c r="C86" s="6" t="inlineStr">
        <is>
          <t>15/06/2026</t>
        </is>
      </c>
      <c r="D86" s="6" t="inlineStr">
        <is>
          <t>MATERIAL OBRA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1511.37</v>
      </c>
    </row>
    <row r="87">
      <c r="A87" s="6" t="inlineStr">
        <is>
          <t>24009 - FORMENTERA 12, JOAQUIN</t>
        </is>
      </c>
      <c r="B87" s="6" t="inlineStr">
        <is>
          <t>1.777,00</t>
        </is>
      </c>
      <c r="C87" s="6" t="inlineStr">
        <is>
          <t>03/07/2026</t>
        </is>
      </c>
      <c r="D87" s="6" t="inlineStr">
        <is>
          <t>PLADUR</t>
        </is>
      </c>
      <c r="E87" s="6" t="inlineStr">
        <is>
          <t>SAINT GOBAIN IDAPLAC SL</t>
        </is>
      </c>
      <c r="F87" s="6" t="inlineStr">
        <is>
          <t>IMPUTADO</t>
        </is>
      </c>
      <c r="G87" s="4" t="n">
        <v>1494.86</v>
      </c>
    </row>
    <row r="88">
      <c r="A88" s="6" t="inlineStr">
        <is>
          <t>24009 - FORMENTERA 12, JOAQUIN</t>
        </is>
      </c>
      <c r="B88" s="6" t="inlineStr">
        <is>
          <t>1.834,00</t>
        </is>
      </c>
      <c r="C88" s="6" t="inlineStr">
        <is>
          <t>17/07/2026</t>
        </is>
      </c>
      <c r="D88" s="6" t="inlineStr">
        <is>
          <t>MAMPARA DE DUCHA CON FIJO Y PERFIL</t>
        </is>
      </c>
      <c r="E88" s="6" t="inlineStr">
        <is>
          <t>ALEJANDRO CUTILLAS CAÑABATE</t>
        </is>
      </c>
      <c r="F88" s="6" t="inlineStr">
        <is>
          <t>IMPUTADO</t>
        </is>
      </c>
      <c r="G88" s="4" t="n">
        <v>1377.1</v>
      </c>
    </row>
    <row r="89">
      <c r="A89" s="6" t="inlineStr">
        <is>
          <t>24009 - FORMENTERA 12, JOAQUIN</t>
        </is>
      </c>
      <c r="B89" s="6" t="inlineStr">
        <is>
          <t>1.489,00</t>
        </is>
      </c>
      <c r="C89" s="6" t="inlineStr">
        <is>
          <t>15/04/2026</t>
        </is>
      </c>
      <c r="D89" s="6" t="inlineStr">
        <is>
          <t>MATERIAL OBRA #albañileria</t>
        </is>
      </c>
      <c r="E89" s="6" t="inlineStr">
        <is>
          <t>CONSYDECOR SL</t>
        </is>
      </c>
      <c r="F89" s="6" t="inlineStr">
        <is>
          <t>IMPUTADO</t>
        </is>
      </c>
      <c r="G89" s="4" t="n">
        <v>1288.51</v>
      </c>
    </row>
    <row r="90">
      <c r="A90" s="6" t="inlineStr">
        <is>
          <t>24009 - FORMENTERA 12, JOAQUIN</t>
        </is>
      </c>
      <c r="B90" s="6" t="inlineStr">
        <is>
          <t>1.838,00</t>
        </is>
      </c>
      <c r="C90" s="6" t="inlineStr">
        <is>
          <t>15/07/2026</t>
        </is>
      </c>
      <c r="D90" s="6" t="inlineStr">
        <is>
          <t>PINTURA</t>
        </is>
      </c>
      <c r="E90" s="6" t="inlineStr">
        <is>
          <t>SANZ BUILDING 2000 SL</t>
        </is>
      </c>
      <c r="F90" s="6" t="inlineStr">
        <is>
          <t>IMPUTADO</t>
        </is>
      </c>
      <c r="G90" s="4" t="n">
        <v>1280.09</v>
      </c>
    </row>
    <row r="91">
      <c r="A91" s="6" t="inlineStr">
        <is>
          <t>24009 - FORMENTERA 12, JOAQUIN</t>
        </is>
      </c>
      <c r="B91" s="6" t="inlineStr">
        <is>
          <t>1.824,00</t>
        </is>
      </c>
      <c r="C91" s="6" t="inlineStr">
        <is>
          <t>08/07/2026</t>
        </is>
      </c>
      <c r="D91" s="6" t="inlineStr">
        <is>
          <t>VALLA PARCELA</t>
        </is>
      </c>
      <c r="E91" s="6" t="inlineStr">
        <is>
          <t>MIRETE MALLAS METALICAS SA</t>
        </is>
      </c>
      <c r="F91" s="6" t="inlineStr">
        <is>
          <t>IMPUTADO</t>
        </is>
      </c>
      <c r="G91" s="4" t="n">
        <v>1101.6</v>
      </c>
    </row>
    <row r="92">
      <c r="A92" s="6" t="inlineStr">
        <is>
          <t>24009 - FORMENTERA 12, JOAQUIN</t>
        </is>
      </c>
      <c r="B92" s="6" t="inlineStr">
        <is>
          <t>1.729,00</t>
        </is>
      </c>
      <c r="C92" s="6" t="inlineStr">
        <is>
          <t>15/06/2026</t>
        </is>
      </c>
      <c r="D92" s="6" t="inlineStr">
        <is>
          <t>TABLERO FENÓLICO</t>
        </is>
      </c>
      <c r="E92" s="6" t="inlineStr">
        <is>
          <t>SIDO MADERA SL</t>
        </is>
      </c>
      <c r="F92" s="6" t="inlineStr">
        <is>
          <t>IMPUTADO</t>
        </is>
      </c>
      <c r="G92" s="4" t="n">
        <v>903.25</v>
      </c>
    </row>
    <row r="93">
      <c r="A93" s="6" t="inlineStr">
        <is>
          <t>24009 - FORMENTERA 12, JOAQUIN</t>
        </is>
      </c>
      <c r="B93" s="6" t="inlineStr">
        <is>
          <t>1.902,00</t>
        </is>
      </c>
      <c r="C93" s="6" t="inlineStr">
        <is>
          <t>31/08/2026</t>
        </is>
      </c>
      <c r="D93" s="6" t="inlineStr">
        <is>
          <t>MORTERO/PEGA SELLA/MORTERO/PLASTICO NEGRO/CEMENTO/TUBO/ESPATULA</t>
        </is>
      </c>
      <c r="E93" s="6" t="inlineStr">
        <is>
          <t>CONSYDECOR SL</t>
        </is>
      </c>
      <c r="F93" s="6" t="inlineStr">
        <is>
          <t>SIN IMPUTAR</t>
        </is>
      </c>
      <c r="G93" s="4" t="n">
        <v>858.59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1.095,00</t>
        </is>
      </c>
      <c r="C109" s="6" t="inlineStr">
        <is>
          <t>04/03/2026</t>
        </is>
      </c>
      <c r="D109" s="6" t="inlineStr">
        <is>
          <t>PRESUPUESTO Nº 609212-2</t>
        </is>
      </c>
      <c r="E109" s="6" t="inlineStr">
        <is>
          <t>LEROY MERLIN ESPAÑA SL</t>
        </is>
      </c>
      <c r="F109" s="6" t="inlineStr">
        <is>
          <t>IMPUTADO</t>
        </is>
      </c>
      <c r="G109" s="4" t="n">
        <v>405.39</v>
      </c>
    </row>
    <row r="110">
      <c r="A110" s="6" t="inlineStr">
        <is>
          <t>24009 - FORMENTERA 12, JOAQUIN</t>
        </is>
      </c>
      <c r="B110" s="6" t="inlineStr">
        <is>
          <t>1.738,00</t>
        </is>
      </c>
      <c r="C110" s="6" t="inlineStr">
        <is>
          <t>22/06/2026</t>
        </is>
      </c>
      <c r="D110" s="6" t="inlineStr">
        <is>
          <t>APLIQUES EXTERIOR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400.27</v>
      </c>
    </row>
    <row r="111">
      <c r="A111" s="6" t="inlineStr">
        <is>
          <t>24009 - FORMENTERA 12, JOAQUIN</t>
        </is>
      </c>
      <c r="B111" s="6" t="inlineStr">
        <is>
          <t>1.745,00</t>
        </is>
      </c>
      <c r="C111" s="6" t="inlineStr">
        <is>
          <t>19/06/2026</t>
        </is>
      </c>
      <c r="D111" s="6" t="inlineStr">
        <is>
          <t>ABONO  PARCIAL - TABLERO FENÓLICO</t>
        </is>
      </c>
      <c r="E111" s="6" t="inlineStr">
        <is>
          <t>SIDO MADERA SL</t>
        </is>
      </c>
      <c r="F111" s="6" t="inlineStr">
        <is>
          <t>SIN IMPUTAR</t>
        </is>
      </c>
      <c r="G111" s="4" t="n">
        <v>-398.25</v>
      </c>
    </row>
    <row r="112">
      <c r="A112" s="6" t="inlineStr">
        <is>
          <t>24009 - FORMENTERA 12, JOAQUIN</t>
        </is>
      </c>
      <c r="B112" s="6" t="inlineStr">
        <is>
          <t>1.819,00</t>
        </is>
      </c>
      <c r="C112" s="6" t="inlineStr">
        <is>
          <t>30/06/2026</t>
        </is>
      </c>
      <c r="D112" s="6" t="inlineStr">
        <is>
          <t>CONTENEDORES</t>
        </is>
      </c>
      <c r="E112" s="6" t="inlineStr">
        <is>
          <t>CONTENEDORES Y EXCAVACIONES ASPE SL.</t>
        </is>
      </c>
      <c r="F112" s="6" t="inlineStr">
        <is>
          <t>IMPUTADO</t>
        </is>
      </c>
      <c r="G112" s="4" t="n">
        <v>-390</v>
      </c>
    </row>
    <row r="113">
      <c r="A113" s="6" t="inlineStr">
        <is>
          <t>24009 - FORMENTERA 12, JOAQUIN</t>
        </is>
      </c>
      <c r="B113" s="6" t="inlineStr">
        <is>
          <t>1.818,00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390</v>
      </c>
    </row>
    <row r="114">
      <c r="A114" s="6" t="inlineStr">
        <is>
          <t>24009 - FORMENTERA 12, JOAQUIN</t>
        </is>
      </c>
      <c r="B114" s="6" t="inlineStr">
        <is>
          <t>1.817,00</t>
        </is>
      </c>
      <c r="C114" s="6" t="inlineStr">
        <is>
          <t>16/07/2026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1.816,00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1.801,00</t>
        </is>
      </c>
      <c r="C116" s="6" t="inlineStr">
        <is>
          <t>30/06/2026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1.771,00</t>
        </is>
      </c>
      <c r="C117" s="6" t="inlineStr">
        <is>
          <t>30/06/2026</t>
        </is>
      </c>
      <c r="D117" s="6" t="inlineStr">
        <is>
          <t>PINTURA</t>
        </is>
      </c>
      <c r="E117" s="6" t="inlineStr">
        <is>
          <t>PINTURAS IDELLA SL.</t>
        </is>
      </c>
      <c r="F117" s="6" t="inlineStr">
        <is>
          <t>IMPUTADO</t>
        </is>
      </c>
      <c r="G117" s="4" t="n">
        <v>380.84</v>
      </c>
    </row>
    <row r="118">
      <c r="A118" s="6" t="inlineStr">
        <is>
          <t>24009 - FORMENTERA 12, JOAQUIN</t>
        </is>
      </c>
      <c r="B118" s="6" t="inlineStr">
        <is>
          <t>1.244,00</t>
        </is>
      </c>
      <c r="C118" s="6" t="inlineStr">
        <is>
          <t>09/04/2026</t>
        </is>
      </c>
      <c r="D118" s="6" t="inlineStr">
        <is>
          <t>PRESUPUESTO Nº 615228</t>
        </is>
      </c>
      <c r="E118" s="6" t="inlineStr">
        <is>
          <t>LEROY MERLIN ESPAÑA SL</t>
        </is>
      </c>
      <c r="F118" s="6" t="inlineStr">
        <is>
          <t>IMPUTADO</t>
        </is>
      </c>
      <c r="G118" s="4" t="n">
        <v>380.07</v>
      </c>
    </row>
    <row r="119">
      <c r="A119" s="6" t="inlineStr">
        <is>
          <t>24009 - FORMENTERA 12, JOAQUIN</t>
        </is>
      </c>
      <c r="B119" s="6" t="inlineStr">
        <is>
          <t>1.862,00</t>
        </is>
      </c>
      <c r="C119" s="6" t="inlineStr">
        <is>
          <t>13/07/2026</t>
        </is>
      </c>
      <c r="D119" s="6" t="inlineStr">
        <is>
          <t>PLADUR</t>
        </is>
      </c>
      <c r="E119" s="6" t="inlineStr">
        <is>
          <t>SAINT GOBAIN IDAPLAC SL</t>
        </is>
      </c>
      <c r="F119" s="6" t="inlineStr">
        <is>
          <t>IMPUTADO</t>
        </is>
      </c>
      <c r="G119" s="4" t="n">
        <v>376.3</v>
      </c>
    </row>
    <row r="120">
      <c r="A120" s="6" t="inlineStr">
        <is>
          <t>24009 - FORMENTERA 12, JOAQUIN</t>
        </is>
      </c>
      <c r="B120" s="6" t="inlineStr">
        <is>
          <t>1.784,00</t>
        </is>
      </c>
      <c r="C120" s="6" t="inlineStr">
        <is>
          <t>30/06/2026</t>
        </is>
      </c>
      <c r="D120" s="6" t="inlineStr">
        <is>
          <t>MATERIAL OBRA</t>
        </is>
      </c>
      <c r="E120" s="6" t="inlineStr">
        <is>
          <t>CONSYDECOR SL</t>
        </is>
      </c>
      <c r="F120" s="6" t="inlineStr">
        <is>
          <t>IMPUTADO</t>
        </is>
      </c>
      <c r="G120" s="4" t="n">
        <v>365.07</v>
      </c>
    </row>
    <row r="121">
      <c r="A121" s="6" t="inlineStr">
        <is>
          <t>24009 - FORMENTERA 12, JOAQUIN</t>
        </is>
      </c>
      <c r="B121" s="6" t="inlineStr">
        <is>
          <t>1.252,00</t>
        </is>
      </c>
      <c r="C121" s="6" t="inlineStr">
        <is>
          <t>31/03/2026</t>
        </is>
      </c>
      <c r="D121" s="6" t="inlineStr">
        <is>
          <t>GRUA #albañileria</t>
        </is>
      </c>
      <c r="E121" s="6" t="inlineStr">
        <is>
          <t>GRUAS Y MAQUINARIA PETREL SL</t>
        </is>
      </c>
      <c r="F121" s="6" t="inlineStr">
        <is>
          <t>IMPUTADO</t>
        </is>
      </c>
      <c r="G121" s="4" t="n">
        <v>360</v>
      </c>
    </row>
    <row r="122">
      <c r="A122" s="6" t="inlineStr">
        <is>
          <t>24009 - FORMENTERA 12, JOAQUIN</t>
        </is>
      </c>
      <c r="B122" s="6" t="inlineStr">
        <is>
          <t>1.883,00</t>
        </is>
      </c>
      <c r="C122" s="6" t="inlineStr">
        <is>
          <t>26/08/2026</t>
        </is>
      </c>
      <c r="D122" s="6" t="inlineStr">
        <is>
          <t>GRUA</t>
        </is>
      </c>
      <c r="E122" s="6" t="inlineStr">
        <is>
          <t>GRUAS Y MAQUINARIA PETREL SL</t>
        </is>
      </c>
      <c r="F122" s="6" t="inlineStr">
        <is>
          <t>SIN IMPUTAR</t>
        </is>
      </c>
      <c r="G122" s="4" t="n">
        <v>-357</v>
      </c>
    </row>
    <row r="123">
      <c r="A123" s="6" t="inlineStr">
        <is>
          <t>24009 - FORMENTERA 12, JOAQUIN</t>
        </is>
      </c>
      <c r="B123" s="6" t="inlineStr">
        <is>
          <t>1.859,00</t>
        </is>
      </c>
      <c r="C123" s="6" t="inlineStr">
        <is>
          <t>23/07/2026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357</v>
      </c>
    </row>
    <row r="124">
      <c r="A124" s="6" t="inlineStr">
        <is>
          <t>24009 - FORMENTERA 12, JOAQUIN</t>
        </is>
      </c>
      <c r="B124" s="6" t="inlineStr">
        <is>
          <t>1.835,00</t>
        </is>
      </c>
      <c r="C124" s="6" t="inlineStr">
        <is>
          <t>15/07/2026</t>
        </is>
      </c>
      <c r="D124" s="6" t="inlineStr">
        <is>
          <t>CONTENEDORES</t>
        </is>
      </c>
      <c r="E124" s="6" t="inlineStr">
        <is>
          <t>CONTENEDORES Y EXCAVACIONES ASPE SL.</t>
        </is>
      </c>
      <c r="F124" s="6" t="inlineStr">
        <is>
          <t>IMPUTADO</t>
        </is>
      </c>
      <c r="G124" s="4" t="n">
        <v>350</v>
      </c>
    </row>
    <row r="125">
      <c r="A125" s="6" t="inlineStr">
        <is>
          <t>24009 - FORMENTERA 12, JOAQUIN</t>
        </is>
      </c>
      <c r="B125" s="6" t="inlineStr">
        <is>
          <t>1.715,00</t>
        </is>
      </c>
      <c r="C125" s="6" t="inlineStr">
        <is>
          <t>10/06/2026</t>
        </is>
      </c>
      <c r="D125" s="6" t="inlineStr">
        <is>
          <t>HORMIGON MURO</t>
        </is>
      </c>
      <c r="E125" s="6" t="inlineStr">
        <is>
          <t>EXPRESS HORMIGONES SL.</t>
        </is>
      </c>
      <c r="F125" s="6" t="inlineStr">
        <is>
          <t>IMPUTADO</t>
        </is>
      </c>
      <c r="G125" s="4" t="n">
        <v>325.5</v>
      </c>
    </row>
    <row r="126">
      <c r="A126" s="6" t="inlineStr">
        <is>
          <t>24009 - FORMENTERA 12, JOAQUIN</t>
        </is>
      </c>
      <c r="B126" s="6" t="inlineStr">
        <is>
          <t>1.876,00</t>
        </is>
      </c>
      <c r="C126" s="6" t="inlineStr">
        <is>
          <t>31/07/2026</t>
        </is>
      </c>
      <c r="D126" s="6" t="inlineStr">
        <is>
          <t>RETROCARGADORA MIXTA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310</v>
      </c>
    </row>
    <row r="127">
      <c r="A127" s="6" t="inlineStr">
        <is>
          <t>24009 - FORMENTERA 12, JOAQUIN</t>
        </is>
      </c>
      <c r="B127" s="6" t="inlineStr">
        <is>
          <t>1.651,00</t>
        </is>
      </c>
      <c r="C127" s="6" t="inlineStr">
        <is>
          <t>31/05/2026</t>
        </is>
      </c>
      <c r="D127" s="6" t="inlineStr">
        <is>
          <t>MATERIAL OBRA</t>
        </is>
      </c>
      <c r="E127" s="6" t="inlineStr">
        <is>
          <t>CONSYDECOR SL</t>
        </is>
      </c>
      <c r="F127" s="6" t="inlineStr">
        <is>
          <t>IMPUTADO</t>
        </is>
      </c>
      <c r="G127" s="4" t="n">
        <v>294.86</v>
      </c>
    </row>
    <row r="128">
      <c r="A128" s="6" t="inlineStr">
        <is>
          <t>24009 - FORMENTERA 12, JOAQUIN</t>
        </is>
      </c>
      <c r="B128" s="6" t="inlineStr">
        <is>
          <t>1.887,00</t>
        </is>
      </c>
      <c r="C128" s="6" t="inlineStr">
        <is>
          <t>07/08/2026</t>
        </is>
      </c>
      <c r="D128" s="6" t="inlineStr">
        <is>
          <t>MALLAZO ELECTROSOLDADO</t>
        </is>
      </c>
      <c r="E128" s="6" t="inlineStr">
        <is>
          <t>FERRALLAS MONFORTE DEL CID SL.</t>
        </is>
      </c>
      <c r="F128" s="6" t="inlineStr">
        <is>
          <t>SIN IMPUTAR</t>
        </is>
      </c>
      <c r="G128" s="4" t="n">
        <v>257.4</v>
      </c>
    </row>
    <row r="129">
      <c r="A129" s="6" t="inlineStr">
        <is>
          <t>24009 - FORMENTERA 12, JOAQUIN</t>
        </is>
      </c>
      <c r="B129" s="6" t="inlineStr">
        <is>
          <t>1.836,00</t>
        </is>
      </c>
      <c r="C129" s="6" t="inlineStr">
        <is>
          <t>15/07/2026</t>
        </is>
      </c>
      <c r="D129" s="6" t="inlineStr">
        <is>
          <t>MATERIAL OBRA</t>
        </is>
      </c>
      <c r="E129" s="6" t="inlineStr">
        <is>
          <t>CONSYDECOR SL</t>
        </is>
      </c>
      <c r="F129" s="6" t="inlineStr">
        <is>
          <t>IMPUTADO</t>
        </is>
      </c>
      <c r="G129" s="4" t="n">
        <v>245.44</v>
      </c>
    </row>
    <row r="130">
      <c r="A130" s="6" t="inlineStr">
        <is>
          <t>24009 - FORMENTERA 12, JOAQUIN</t>
        </is>
      </c>
      <c r="B130" s="6" t="inlineStr">
        <is>
          <t>1.741,00</t>
        </is>
      </c>
      <c r="C130" s="6" t="inlineStr">
        <is>
          <t>19/06/2026</t>
        </is>
      </c>
      <c r="D130" s="6" t="inlineStr">
        <is>
          <t>REJILLA LINEAL</t>
        </is>
      </c>
      <c r="E130" s="6" t="inlineStr">
        <is>
          <t>LEROY MERLIN ESPAÑA SL</t>
        </is>
      </c>
      <c r="F130" s="6" t="inlineStr">
        <is>
          <t>SIN IMPUTAR</t>
        </is>
      </c>
      <c r="G130" s="4" t="n">
        <v>242.4</v>
      </c>
    </row>
    <row r="131">
      <c r="A131" s="6" t="inlineStr">
        <is>
          <t>24009 - FORMENTERA 12, JOAQUIN</t>
        </is>
      </c>
      <c r="B131" s="6" t="inlineStr">
        <is>
          <t>1.913,00</t>
        </is>
      </c>
      <c r="C131" s="6" t="inlineStr">
        <is>
          <t>31/08/2026</t>
        </is>
      </c>
      <c r="D131" s="6" t="inlineStr">
        <is>
          <t>CONTENEDOR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24009 - FORMENTERA 12, JOAQUIN</t>
        </is>
      </c>
      <c r="B132" s="6" t="inlineStr">
        <is>
          <t>1.650,00</t>
        </is>
      </c>
      <c r="C132" s="6" t="inlineStr">
        <is>
          <t>31/05/2026</t>
        </is>
      </c>
      <c r="D132" s="6" t="inlineStr">
        <is>
          <t>CONTENEDOR</t>
        </is>
      </c>
      <c r="E132" s="6" t="inlineStr">
        <is>
          <t>CONTENEDORES Y EXCAVACIONES ASPE SL.</t>
        </is>
      </c>
      <c r="F132" s="6" t="inlineStr">
        <is>
          <t>IMPUTADO</t>
        </is>
      </c>
      <c r="G132" s="4" t="n">
        <v>230</v>
      </c>
    </row>
    <row r="133">
      <c r="A133" s="6" t="inlineStr">
        <is>
          <t>24009 - FORMENTERA 12, JOAQUIN</t>
        </is>
      </c>
      <c r="B133" s="6" t="inlineStr">
        <is>
          <t>1.524,00</t>
        </is>
      </c>
      <c r="C133" s="6" t="inlineStr">
        <is>
          <t>30/04/2026</t>
        </is>
      </c>
      <c r="D133" s="6" t="inlineStr">
        <is>
          <t>CONTENEDOR #albañileria/contenedores</t>
        </is>
      </c>
      <c r="E133" s="6" t="inlineStr">
        <is>
          <t>CONTENEDORES Y EXCAVACIONES ASPE SL.</t>
        </is>
      </c>
      <c r="F133" s="6" t="inlineStr">
        <is>
          <t>IMPUTADO</t>
        </is>
      </c>
      <c r="G133" s="4" t="n">
        <v>230</v>
      </c>
    </row>
    <row r="134">
      <c r="A134" s="6" t="inlineStr">
        <is>
          <t>24009 - FORMENTERA 12, JOAQUIN</t>
        </is>
      </c>
      <c r="B134" s="6" t="inlineStr">
        <is>
          <t>1.201,00</t>
        </is>
      </c>
      <c r="C134" s="6" t="inlineStr">
        <is>
          <t>01/04/2026</t>
        </is>
      </c>
      <c r="D134" s="6" t="inlineStr">
        <is>
          <t>GESTIÓN DE RESIDUOS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1.110,00</t>
        </is>
      </c>
      <c r="C135" s="6" t="inlineStr">
        <is>
          <t>15/02/2026</t>
        </is>
      </c>
      <c r="D135" s="6" t="inlineStr">
        <is>
          <t>CONTENEDORES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1.491,00</t>
        </is>
      </c>
      <c r="C136" s="6" t="inlineStr">
        <is>
          <t>07/04/2026</t>
        </is>
      </c>
      <c r="D136" s="6" t="inlineStr">
        <is>
          <t>PLATO DUCHA</t>
        </is>
      </c>
      <c r="E136" s="6" t="inlineStr">
        <is>
          <t>LEROY MERLIN ESPAÑA SL</t>
        </is>
      </c>
      <c r="F136" s="6" t="inlineStr">
        <is>
          <t>IMPUTADO</t>
        </is>
      </c>
      <c r="G136" s="4" t="n">
        <v>229.75</v>
      </c>
    </row>
    <row r="137">
      <c r="A137" s="6" t="inlineStr">
        <is>
          <t>24009 - FORMENTERA 12, JOAQUIN</t>
        </is>
      </c>
      <c r="B137" s="6" t="inlineStr">
        <is>
          <t>825</t>
        </is>
      </c>
      <c r="C137" s="6" t="inlineStr">
        <is>
          <t>15/02/2026</t>
        </is>
      </c>
      <c r="D137" s="6" t="inlineStr">
        <is>
          <t>MATERIAL OBRA #Albañileria- Material</t>
        </is>
      </c>
      <c r="E137" s="6" t="inlineStr">
        <is>
          <t>CONSYDECOR SL</t>
        </is>
      </c>
      <c r="F137" s="6" t="inlineStr">
        <is>
          <t>IMPUTADO</t>
        </is>
      </c>
      <c r="G137" s="4" t="n">
        <v>214.84</v>
      </c>
    </row>
    <row r="138">
      <c r="A138" s="6" t="inlineStr">
        <is>
          <t>24009 - FORMENTERA 12, JOAQUIN</t>
        </is>
      </c>
      <c r="B138" s="6" t="inlineStr">
        <is>
          <t>792</t>
        </is>
      </c>
      <c r="C138" s="6" t="inlineStr">
        <is>
          <t>04/02/2026</t>
        </is>
      </c>
      <c r="D138" s="6" t="inlineStr">
        <is>
          <t>KIT DUCHA OCULTO</t>
        </is>
      </c>
      <c r="E138" s="6" t="inlineStr">
        <is>
          <t>MATERIALES DE CONSTRUCCION MONOVAR SL</t>
        </is>
      </c>
      <c r="F138" s="6" t="inlineStr">
        <is>
          <t>IMPUTADO</t>
        </is>
      </c>
      <c r="G138" s="4" t="n">
        <v>206.22</v>
      </c>
    </row>
    <row r="139">
      <c r="A139" s="6" t="inlineStr">
        <is>
          <t>24009 - FORMENTERA 12, JOAQUIN</t>
        </is>
      </c>
      <c r="B139" s="6" t="inlineStr">
        <is>
          <t>1.765,00</t>
        </is>
      </c>
      <c r="C139" s="6" t="inlineStr">
        <is>
          <t>19/06/2026</t>
        </is>
      </c>
      <c r="D139" s="6" t="inlineStr">
        <is>
          <t>REPARACIÓN MORTERO HORRMIGON VISTO</t>
        </is>
      </c>
      <c r="E139" s="6" t="inlineStr">
        <is>
          <t>MATERIALES CANO SL</t>
        </is>
      </c>
      <c r="F139" s="6" t="inlineStr">
        <is>
          <t>IMPUTADO</t>
        </is>
      </c>
      <c r="G139" s="4" t="n">
        <v>198.75</v>
      </c>
    </row>
    <row r="140">
      <c r="A140" s="6" t="inlineStr">
        <is>
          <t>24009 - FORMENTERA 12, JOAQUIN</t>
        </is>
      </c>
      <c r="B140" s="6" t="inlineStr">
        <is>
          <t>1.739,00</t>
        </is>
      </c>
      <c r="C140" s="6" t="inlineStr">
        <is>
          <t>19/06/2026</t>
        </is>
      </c>
      <c r="D140" s="6" t="inlineStr">
        <is>
          <t>PERFILES PLADUR OMEGA</t>
        </is>
      </c>
      <c r="E140" s="6" t="inlineStr">
        <is>
          <t>SAINT GOBAIN IDAPLAC SL</t>
        </is>
      </c>
      <c r="F140" s="6" t="inlineStr">
        <is>
          <t>IMPUTADO</t>
        </is>
      </c>
      <c r="G140" s="4" t="n">
        <v>196.2</v>
      </c>
    </row>
    <row r="141">
      <c r="A141" s="6" t="inlineStr">
        <is>
          <t>24009 - FORMENTERA 12, JOAQUIN</t>
        </is>
      </c>
      <c r="B141" s="6" t="inlineStr">
        <is>
          <t>1.851,00</t>
        </is>
      </c>
      <c r="C141" s="6" t="inlineStr">
        <is>
          <t>13/07/2026</t>
        </is>
      </c>
      <c r="D141" s="6" t="inlineStr">
        <is>
          <t>WEBER MORTERO</t>
        </is>
      </c>
      <c r="E141" s="6" t="inlineStr">
        <is>
          <t>SAINT GOBAIN IDAPLAC SL</t>
        </is>
      </c>
      <c r="F141" s="6" t="inlineStr">
        <is>
          <t>IMPUTADO</t>
        </is>
      </c>
      <c r="G141" s="4" t="n">
        <v>182.81</v>
      </c>
    </row>
    <row r="142">
      <c r="A142" s="6" t="inlineStr">
        <is>
          <t>24009 - FORMENTERA 12, JOAQUIN</t>
        </is>
      </c>
      <c r="B142" s="6" t="inlineStr">
        <is>
          <t>1.575,00</t>
        </is>
      </c>
      <c r="C142" s="6" t="inlineStr">
        <is>
          <t>12/05/2026</t>
        </is>
      </c>
      <c r="D142" s="6" t="inlineStr">
        <is>
          <t>PINTURA</t>
        </is>
      </c>
      <c r="E142" s="6" t="inlineStr">
        <is>
          <t>PINTURAS IDELLA SL.</t>
        </is>
      </c>
      <c r="F142" s="6" t="inlineStr">
        <is>
          <t>IMPUTADO</t>
        </is>
      </c>
      <c r="G142" s="4" t="n">
        <v>171.05</v>
      </c>
    </row>
    <row r="143">
      <c r="A143" s="6" t="inlineStr">
        <is>
          <t>24009 - FORMENTERA 12, JOAQUIN</t>
        </is>
      </c>
      <c r="B143" s="6" t="inlineStr">
        <is>
          <t>1.580,00</t>
        </is>
      </c>
      <c r="C143" s="6" t="inlineStr">
        <is>
          <t>08/05/2026</t>
        </is>
      </c>
      <c r="D143" s="6" t="inlineStr">
        <is>
          <t>LIMPIEZA SOLAR</t>
        </is>
      </c>
      <c r="E143" s="6" t="inlineStr">
        <is>
          <t>MARCOS GALIANO POVEDA</t>
        </is>
      </c>
      <c r="F143" s="6" t="inlineStr">
        <is>
          <t>IMPUTADO</t>
        </is>
      </c>
      <c r="G143" s="4" t="n">
        <v>170</v>
      </c>
    </row>
    <row r="144">
      <c r="A144" s="6" t="inlineStr">
        <is>
          <t>24009 - FORMENTERA 12, JOAQUIN</t>
        </is>
      </c>
      <c r="B144" s="6" t="inlineStr">
        <is>
          <t>1.892,00</t>
        </is>
      </c>
      <c r="C144" s="6" t="inlineStr">
        <is>
          <t>31/07/2026</t>
        </is>
      </c>
      <c r="D144" s="6" t="inlineStr">
        <is>
          <t>MATERIAL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167.69</v>
      </c>
    </row>
    <row r="145">
      <c r="A145" s="6" t="inlineStr">
        <is>
          <t>24009 - FORMENTERA 12, JOAQUIN</t>
        </is>
      </c>
      <c r="B145" s="6" t="inlineStr">
        <is>
          <t>600</t>
        </is>
      </c>
      <c r="C145" s="6" t="inlineStr">
        <is>
          <t>04/02/2026</t>
        </is>
      </c>
      <c r="D145" s="6" t="inlineStr">
        <is>
          <t>REPISAS</t>
        </is>
      </c>
      <c r="E145" s="6" t="inlineStr">
        <is>
          <t>PEREA LOPEZ STONE SL.</t>
        </is>
      </c>
      <c r="F145" s="6" t="inlineStr">
        <is>
          <t>IMPUTADO</t>
        </is>
      </c>
      <c r="G145" s="4" t="n">
        <v>156.79</v>
      </c>
    </row>
    <row r="146">
      <c r="A146" s="6" t="inlineStr">
        <is>
          <t>24009 - FORMENTERA 12, JOAQUIN</t>
        </is>
      </c>
      <c r="B146" s="6" t="inlineStr">
        <is>
          <t>1.783,00</t>
        </is>
      </c>
      <c r="C146" s="6" t="inlineStr">
        <is>
          <t>30/06/2026</t>
        </is>
      </c>
      <c r="D146" s="6" t="inlineStr">
        <is>
          <t>MATERIAL OBRA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156.31</v>
      </c>
    </row>
    <row r="147">
      <c r="A147" s="6" t="inlineStr">
        <is>
          <t>24009 - FORMENTERA 12, JOAQUIN</t>
        </is>
      </c>
      <c r="B147" s="6" t="inlineStr">
        <is>
          <t>1.848,00</t>
        </is>
      </c>
      <c r="C147" s="6" t="inlineStr">
        <is>
          <t>15/07/2026</t>
        </is>
      </c>
      <c r="D147" s="6" t="inlineStr">
        <is>
          <t>PERFIL PVC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154.35</v>
      </c>
    </row>
    <row r="148">
      <c r="A148" s="6" t="inlineStr">
        <is>
          <t>24009 - FORMENTERA 12, JOAQUIN</t>
        </is>
      </c>
      <c r="B148" s="6" t="inlineStr">
        <is>
          <t>1.731,00</t>
        </is>
      </c>
      <c r="C148" s="6" t="inlineStr">
        <is>
          <t>15/06/2026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152.63</v>
      </c>
    </row>
    <row r="149">
      <c r="A149" s="6" t="inlineStr">
        <is>
          <t>24009 - FORMENTERA 12, JOAQUIN</t>
        </is>
      </c>
      <c r="B149" s="6" t="inlineStr">
        <is>
          <t>1.896,00</t>
        </is>
      </c>
      <c r="C149" s="6" t="inlineStr">
        <is>
          <t>28/08/2026</t>
        </is>
      </c>
      <c r="D149" s="6" t="inlineStr">
        <is>
          <t>WEBER FACHADA</t>
        </is>
      </c>
      <c r="E149" s="6" t="inlineStr">
        <is>
          <t>SAINT GOBAIN IDAPLAC SL</t>
        </is>
      </c>
      <c r="F149" s="6" t="inlineStr">
        <is>
          <t>SIN IMPUTAR</t>
        </is>
      </c>
      <c r="G149" s="4" t="n">
        <v>-152.34</v>
      </c>
    </row>
    <row r="150">
      <c r="A150" s="6" t="inlineStr">
        <is>
          <t>24009 - FORMENTERA 12, JOAQUIN</t>
        </is>
      </c>
      <c r="B150" s="6" t="inlineStr">
        <is>
          <t>1.241,00</t>
        </is>
      </c>
      <c r="C150" s="6" t="inlineStr">
        <is>
          <t>23/03/2026</t>
        </is>
      </c>
      <c r="D150" s="6" t="inlineStr">
        <is>
          <t>GRUA MOVER MATERIAL #albañileria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130</v>
      </c>
    </row>
    <row r="151">
      <c r="A151" s="6" t="inlineStr">
        <is>
          <t>24009 - FORMENTERA 12, JOAQUIN</t>
        </is>
      </c>
      <c r="B151" s="6" t="inlineStr">
        <is>
          <t>1.717,00</t>
        </is>
      </c>
      <c r="C151" s="6" t="inlineStr">
        <is>
          <t>07/06/2026</t>
        </is>
      </c>
      <c r="D151" s="6" t="inlineStr">
        <is>
          <t>COLECTO ACOMETIDA</t>
        </is>
      </c>
      <c r="E151" s="6" t="inlineStr">
        <is>
          <t>SALTOKI ALICANTE SL.</t>
        </is>
      </c>
      <c r="F151" s="6" t="inlineStr">
        <is>
          <t>IMPUTADO</t>
        </is>
      </c>
      <c r="G151" s="4" t="n">
        <v>122.61</v>
      </c>
    </row>
    <row r="152">
      <c r="A152" s="6" t="inlineStr">
        <is>
          <t>24009 - FORMENTERA 12, JOAQUIN</t>
        </is>
      </c>
      <c r="B152" s="6" t="inlineStr">
        <is>
          <t>1.277,00</t>
        </is>
      </c>
      <c r="C152" s="6" t="inlineStr">
        <is>
          <t>31/03/2026</t>
        </is>
      </c>
      <c r="D152" s="6" t="inlineStr">
        <is>
          <t>PORTES SALTOKI</t>
        </is>
      </c>
      <c r="E152" s="6" t="inlineStr">
        <is>
          <t>SALTOKI ELCHE SL.</t>
        </is>
      </c>
      <c r="F152" s="6" t="inlineStr">
        <is>
          <t>IMPUTADO</t>
        </is>
      </c>
      <c r="G152" s="4" t="n">
        <v>114.75</v>
      </c>
    </row>
    <row r="153">
      <c r="A153" s="6" t="inlineStr">
        <is>
          <t>24009 - FORMENTERA 12, JOAQUIN</t>
        </is>
      </c>
      <c r="B153" s="6" t="inlineStr">
        <is>
          <t>1.837,00</t>
        </is>
      </c>
      <c r="C153" s="6" t="inlineStr">
        <is>
          <t>15/07/2026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101.85</v>
      </c>
    </row>
    <row r="154">
      <c r="A154" s="6" t="inlineStr">
        <is>
          <t>24009 - FORMENTERA 12, JOAQUIN</t>
        </is>
      </c>
      <c r="B154" s="6" t="inlineStr">
        <is>
          <t>1.791,00</t>
        </is>
      </c>
      <c r="C154" s="6" t="inlineStr">
        <is>
          <t>07/07/2026</t>
        </is>
      </c>
      <c r="D154" s="6" t="inlineStr">
        <is>
          <t>RAIL - MONTAJE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99.11</v>
      </c>
    </row>
    <row r="155">
      <c r="A155" s="6" t="inlineStr">
        <is>
          <t>24009 - FORMENTERA 12, JOAQUIN</t>
        </is>
      </c>
      <c r="B155" s="6" t="inlineStr">
        <is>
          <t>1.770,00</t>
        </is>
      </c>
      <c r="C155" s="6" t="inlineStr">
        <is>
          <t>30/06/2026</t>
        </is>
      </c>
      <c r="D155" s="6" t="inlineStr">
        <is>
          <t>HORMIPRES RESINA HORMIGON</t>
        </is>
      </c>
      <c r="E155" s="6" t="inlineStr">
        <is>
          <t>SANZ BUILDING 2000 SL</t>
        </is>
      </c>
      <c r="F155" s="6" t="inlineStr">
        <is>
          <t>IMPUTADO</t>
        </is>
      </c>
      <c r="G155" s="4" t="n">
        <v>98</v>
      </c>
    </row>
    <row r="156">
      <c r="A156" s="6" t="inlineStr">
        <is>
          <t>24009 - FORMENTERA 12, JOAQUIN</t>
        </is>
      </c>
      <c r="B156" s="6" t="inlineStr">
        <is>
          <t>824</t>
        </is>
      </c>
      <c r="C156" s="6" t="inlineStr">
        <is>
          <t>15/02/2026</t>
        </is>
      </c>
      <c r="D156" s="6" t="inlineStr">
        <is>
          <t>MATERIAL OBRA #Albañileria-Material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90.19</v>
      </c>
    </row>
    <row r="157">
      <c r="A157" s="6" t="inlineStr">
        <is>
          <t>24009 - FORMENTERA 12, JOAQUIN</t>
        </is>
      </c>
      <c r="B157" s="6" t="inlineStr">
        <is>
          <t>1.788,00</t>
        </is>
      </c>
      <c r="C157" s="6" t="inlineStr">
        <is>
          <t>17/06/2026</t>
        </is>
      </c>
      <c r="D157" s="6" t="inlineStr">
        <is>
          <t>PINTURA</t>
        </is>
      </c>
      <c r="E157" s="6" t="inlineStr">
        <is>
          <t>DECOBRIC SANZ SL</t>
        </is>
      </c>
      <c r="F157" s="6" t="inlineStr">
        <is>
          <t>IMPUTADO</t>
        </is>
      </c>
      <c r="G157" s="4" t="n">
        <v>64.79000000000001</v>
      </c>
    </row>
    <row r="158">
      <c r="A158" s="6" t="inlineStr">
        <is>
          <t>24009 - FORMENTERA 12, JOAQUIN</t>
        </is>
      </c>
      <c r="B158" s="6" t="inlineStr">
        <is>
          <t>1.853,00</t>
        </is>
      </c>
      <c r="C158" s="6" t="inlineStr">
        <is>
          <t>24/07/2026</t>
        </is>
      </c>
      <c r="D158" s="6" t="inlineStr">
        <is>
          <t>MALLAZO JOAQUIN</t>
        </is>
      </c>
      <c r="E158" s="6" t="inlineStr">
        <is>
          <t>FERRALLAS MONFORTE DEL CID SL.</t>
        </is>
      </c>
      <c r="F158" s="6" t="inlineStr">
        <is>
          <t>IMPUTADO</t>
        </is>
      </c>
      <c r="G158" s="4" t="n">
        <v>60.72</v>
      </c>
    </row>
    <row r="159">
      <c r="A159" s="6" t="inlineStr">
        <is>
          <t>24009 - FORMENTERA 12, JOAQUIN</t>
        </is>
      </c>
      <c r="B159" s="6" t="inlineStr">
        <is>
          <t>1.723,00</t>
        </is>
      </c>
      <c r="C159" s="6" t="inlineStr">
        <is>
          <t>19/05/2026</t>
        </is>
      </c>
      <c r="D159" s="6" t="inlineStr">
        <is>
          <t>PINTURA</t>
        </is>
      </c>
      <c r="E159" s="6" t="inlineStr">
        <is>
          <t>DECOBRIC SANZ SL</t>
        </is>
      </c>
      <c r="F159" s="6" t="inlineStr">
        <is>
          <t>IMPUTADO</t>
        </is>
      </c>
      <c r="G159" s="4" t="n">
        <v>53.13</v>
      </c>
    </row>
    <row r="160">
      <c r="A160" s="6" t="inlineStr">
        <is>
          <t>24009 - FORMENTERA 12, JOAQUIN</t>
        </is>
      </c>
      <c r="B160" s="6" t="inlineStr">
        <is>
          <t>1.724,00</t>
        </is>
      </c>
      <c r="C160" s="6" t="inlineStr">
        <is>
          <t>11/05/2026</t>
        </is>
      </c>
      <c r="D160" s="6" t="inlineStr">
        <is>
          <t>MUESTRAS PINTURA</t>
        </is>
      </c>
      <c r="E160" s="6" t="inlineStr">
        <is>
          <t>DECOBRIC SANZ SL</t>
        </is>
      </c>
      <c r="F160" s="6" t="inlineStr">
        <is>
          <t>IMPUTADO</t>
        </is>
      </c>
      <c r="G160" s="4" t="n">
        <v>50.89</v>
      </c>
    </row>
    <row r="161">
      <c r="A161" s="6" t="inlineStr">
        <is>
          <t>24009 - FORMENTERA 12, JOAQUIN</t>
        </is>
      </c>
      <c r="B161" s="6" t="inlineStr">
        <is>
          <t>1.603,00</t>
        </is>
      </c>
      <c r="C161" s="6" t="inlineStr">
        <is>
          <t>15/05/2026</t>
        </is>
      </c>
      <c r="D161" s="6" t="inlineStr">
        <is>
          <t>MORTERO REFRACTARIO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48.81</v>
      </c>
    </row>
    <row r="162">
      <c r="A162" s="6" t="inlineStr">
        <is>
          <t>24009 - FORMENTERA 12, JOAQUIN</t>
        </is>
      </c>
      <c r="B162" s="6" t="inlineStr">
        <is>
          <t>1.737,00</t>
        </is>
      </c>
      <c r="C162" s="6" t="inlineStr">
        <is>
          <t>19/05/2026</t>
        </is>
      </c>
      <c r="D162" s="6" t="inlineStr">
        <is>
          <t>MATERIAL PINTURA</t>
        </is>
      </c>
      <c r="E162" s="6" t="inlineStr">
        <is>
          <t>BRICOLAJE BRICOMAN SLU</t>
        </is>
      </c>
      <c r="F162" s="6" t="inlineStr">
        <is>
          <t>IMPUTADO</t>
        </is>
      </c>
      <c r="G162" s="4" t="n">
        <v>45.91</v>
      </c>
    </row>
    <row r="163">
      <c r="A163" s="6" t="inlineStr">
        <is>
          <t>24009 - FORMENTERA 12, JOAQUIN</t>
        </is>
      </c>
      <c r="B163" s="6" t="inlineStr">
        <is>
          <t>1.813,00</t>
        </is>
      </c>
      <c r="C163" s="6" t="inlineStr">
        <is>
          <t>10/07/2026</t>
        </is>
      </c>
      <c r="D163" s="6" t="inlineStr">
        <is>
          <t>CARTON</t>
        </is>
      </c>
      <c r="E163" s="6" t="inlineStr">
        <is>
          <t>SAINT GOBAIN IDAPLAC SL</t>
        </is>
      </c>
      <c r="F163" s="6" t="inlineStr">
        <is>
          <t>IMPUTADO</t>
        </is>
      </c>
      <c r="G163" s="4" t="n">
        <v>40.36</v>
      </c>
    </row>
    <row r="164">
      <c r="A164" s="6" t="inlineStr">
        <is>
          <t>24009 - FORMENTERA 12, JOAQUIN</t>
        </is>
      </c>
      <c r="B164" s="6" t="inlineStr">
        <is>
          <t>1.773,00</t>
        </is>
      </c>
      <c r="C164" s="6" t="inlineStr">
        <is>
          <t>19/06/2026</t>
        </is>
      </c>
      <c r="D164" s="6" t="inlineStr">
        <is>
          <t>PISON COMPACTADOR GASOLINA</t>
        </is>
      </c>
      <c r="E164" s="6" t="inlineStr">
        <is>
          <t>LOXAM ALQUILER DE MAQUINARIA SL.</t>
        </is>
      </c>
      <c r="F164" s="6" t="inlineStr">
        <is>
          <t>IMPUTADO</t>
        </is>
      </c>
      <c r="G164" s="4" t="n">
        <v>35.6</v>
      </c>
    </row>
    <row r="165">
      <c r="A165" s="6" t="inlineStr">
        <is>
          <t>24009 - FORMENTERA 12, JOAQUIN</t>
        </is>
      </c>
      <c r="B165" s="6" t="inlineStr">
        <is>
          <t>1.713,00</t>
        </is>
      </c>
      <c r="C165" s="6" t="inlineStr">
        <is>
          <t>13/06/2026</t>
        </is>
      </c>
      <c r="D165" s="6" t="inlineStr">
        <is>
          <t>PRODUCTOS LIMPIEZA</t>
        </is>
      </c>
      <c r="E165" s="6" t="inlineStr">
        <is>
          <t>IDELLA PLACE SL.</t>
        </is>
      </c>
      <c r="F165" s="6" t="inlineStr">
        <is>
          <t>IMPUTADO</t>
        </is>
      </c>
      <c r="G165" s="4" t="n">
        <v>34.98</v>
      </c>
    </row>
    <row r="166">
      <c r="A166" s="6" t="inlineStr">
        <is>
          <t>24009 - FORMENTERA 12, JOAQUIN</t>
        </is>
      </c>
      <c r="B166" s="6" t="inlineStr">
        <is>
          <t>1.849,00</t>
        </is>
      </c>
      <c r="C166" s="6" t="inlineStr">
        <is>
          <t>14/07/2026</t>
        </is>
      </c>
      <c r="D166" s="6" t="inlineStr">
        <is>
          <t>TAPA RELLENABLE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30.75</v>
      </c>
    </row>
    <row r="167">
      <c r="A167" s="6" t="inlineStr">
        <is>
          <t>24009 - FORMENTERA 12, JOAQUIN</t>
        </is>
      </c>
      <c r="B167" s="6" t="inlineStr">
        <is>
          <t>1.880,00</t>
        </is>
      </c>
      <c r="C167" s="6" t="inlineStr">
        <is>
          <t>31/07/2026</t>
        </is>
      </c>
      <c r="D167" s="6" t="inlineStr">
        <is>
          <t>PINTURA</t>
        </is>
      </c>
      <c r="E167" s="6" t="inlineStr">
        <is>
          <t>SANZ BUILDING 2000 SL</t>
        </is>
      </c>
      <c r="F167" s="6" t="inlineStr">
        <is>
          <t>IMPUTADO</t>
        </is>
      </c>
      <c r="G167" s="4" t="n">
        <v>28.99</v>
      </c>
    </row>
    <row r="168">
      <c r="A168" s="6" t="inlineStr">
        <is>
          <t>24009 - FORMENTERA 12, JOAQUIN</t>
        </is>
      </c>
      <c r="B168" s="6" t="inlineStr">
        <is>
          <t>1.778,00</t>
        </is>
      </c>
      <c r="C168" s="6" t="inlineStr">
        <is>
          <t>30/06/2026</t>
        </is>
      </c>
      <c r="D168" s="6" t="inlineStr">
        <is>
          <t>MORTERO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27.57</v>
      </c>
    </row>
    <row r="169">
      <c r="A169" s="6" t="inlineStr">
        <is>
          <t>24009 - FORMENTERA 12, JOAQUIN</t>
        </is>
      </c>
      <c r="B169" s="6" t="inlineStr">
        <is>
          <t>1.844,00</t>
        </is>
      </c>
      <c r="C169" s="6" t="inlineStr">
        <is>
          <t>21/07/2026</t>
        </is>
      </c>
      <c r="D169" s="6" t="inlineStr">
        <is>
          <t>REGISTRP GALVANIZADO</t>
        </is>
      </c>
      <c r="E169" s="6" t="inlineStr">
        <is>
          <t>HIJOS DE JOSE BUSQUIER SL</t>
        </is>
      </c>
      <c r="F169" s="6" t="inlineStr">
        <is>
          <t>IMPUTADO</t>
        </is>
      </c>
      <c r="G169" s="4" t="n">
        <v>25.45</v>
      </c>
    </row>
    <row r="170">
      <c r="A170" s="6" t="inlineStr">
        <is>
          <t>24009 - FORMENTERA 12, JOAQUIN</t>
        </is>
      </c>
      <c r="B170" s="6" t="inlineStr">
        <is>
          <t>1.675,00</t>
        </is>
      </c>
      <c r="C170" s="6" t="inlineStr">
        <is>
          <t>03/06/2026</t>
        </is>
      </c>
      <c r="D170" s="6" t="inlineStr">
        <is>
          <t>BROCAS HIERRO</t>
        </is>
      </c>
      <c r="E170" s="6" t="inlineStr"/>
      <c r="F170" s="6" t="inlineStr">
        <is>
          <t>IMPUTADO</t>
        </is>
      </c>
      <c r="G170" s="4" t="n">
        <v>20.17</v>
      </c>
    </row>
    <row r="171">
      <c r="A171" s="6" t="inlineStr">
        <is>
          <t>24009 - FORMENTERA 12, JOAQUIN</t>
        </is>
      </c>
      <c r="B171" s="6" t="inlineStr">
        <is>
          <t>1.742,00</t>
        </is>
      </c>
      <c r="C171" s="6" t="inlineStr">
        <is>
          <t>19/06/2026</t>
        </is>
      </c>
      <c r="D171" s="6" t="inlineStr">
        <is>
          <t>PVC DESAGÜES</t>
        </is>
      </c>
      <c r="E171" s="6" t="inlineStr">
        <is>
          <t>LEROY MERLIN ESPAÑA SL</t>
        </is>
      </c>
      <c r="F171" s="6" t="inlineStr">
        <is>
          <t>IMPUTADO</t>
        </is>
      </c>
      <c r="G171" s="4" t="n">
        <v>15.57</v>
      </c>
    </row>
    <row r="172">
      <c r="A172" s="6" t="inlineStr">
        <is>
          <t>24009 - FORMENTERA 12, JOAQUIN</t>
        </is>
      </c>
      <c r="B172" s="6" t="inlineStr">
        <is>
          <t>1.890,00</t>
        </is>
      </c>
      <c r="C172" s="6" t="inlineStr">
        <is>
          <t>31/07/2026</t>
        </is>
      </c>
      <c r="D172" s="6" t="inlineStr">
        <is>
          <t>PLADUR</t>
        </is>
      </c>
      <c r="E172" s="6" t="inlineStr">
        <is>
          <t>CONSYDECOR SL</t>
        </is>
      </c>
      <c r="F172" s="6" t="inlineStr">
        <is>
          <t>IMPUTADO</t>
        </is>
      </c>
      <c r="G172" s="4" t="n">
        <v>14.41</v>
      </c>
    </row>
    <row r="173">
      <c r="A173" s="6" t="inlineStr">
        <is>
          <t>24009 - FORMENTERA 12, JOAQUIN</t>
        </is>
      </c>
      <c r="B173" s="6" t="inlineStr">
        <is>
          <t>1.608,00</t>
        </is>
      </c>
      <c r="C173" s="6" t="inlineStr">
        <is>
          <t>08/05/2026</t>
        </is>
      </c>
      <c r="D173" s="6" t="inlineStr">
        <is>
          <t>TORNILLOS #fachada</t>
        </is>
      </c>
      <c r="E173" s="6" t="inlineStr"/>
      <c r="F173" s="6" t="inlineStr">
        <is>
          <t>IMPUTADO</t>
        </is>
      </c>
      <c r="G173" s="4" t="n">
        <v>14.4</v>
      </c>
    </row>
    <row r="174">
      <c r="A174" s="6" t="inlineStr">
        <is>
          <t>24009 - FORMENTERA 12, JOAQUIN</t>
        </is>
      </c>
      <c r="B174" s="6" t="inlineStr">
        <is>
          <t>1.490,00</t>
        </is>
      </c>
      <c r="C174" s="6" t="inlineStr">
        <is>
          <t>14/04/2026</t>
        </is>
      </c>
      <c r="D174" s="6" t="inlineStr">
        <is>
          <t>MATEIAL OBRA #albañileria</t>
        </is>
      </c>
      <c r="E174" s="6" t="inlineStr"/>
      <c r="F174" s="6" t="inlineStr">
        <is>
          <t>IMPUTADO</t>
        </is>
      </c>
      <c r="G174" s="4" t="n">
        <v>9.970000000000001</v>
      </c>
    </row>
    <row r="175">
      <c r="A175" s="6" t="inlineStr">
        <is>
          <t>24009 - FORMENTERA 12, JOAQUIN</t>
        </is>
      </c>
      <c r="B175" s="6" t="inlineStr">
        <is>
          <t>1.718,00</t>
        </is>
      </c>
      <c r="C175" s="6" t="inlineStr">
        <is>
          <t>05/06/2026</t>
        </is>
      </c>
      <c r="D175" s="6" t="inlineStr">
        <is>
          <t>SELLADOR</t>
        </is>
      </c>
      <c r="E175" s="6" t="inlineStr">
        <is>
          <t>LEROY MERLIN ESPAÑA SL</t>
        </is>
      </c>
      <c r="F175" s="6" t="inlineStr">
        <is>
          <t>IMPUTADO</t>
        </is>
      </c>
      <c r="G175" s="4" t="n">
        <v>8.92</v>
      </c>
    </row>
    <row r="176">
      <c r="A176" s="6" t="inlineStr">
        <is>
          <t>24009 - FORMENTERA 12, JOAQUIN</t>
        </is>
      </c>
      <c r="B176" s="6" t="inlineStr">
        <is>
          <t>1.847,00</t>
        </is>
      </c>
      <c r="C176" s="6" t="inlineStr">
        <is>
          <t>17/07/2026</t>
        </is>
      </c>
      <c r="D176" s="6" t="inlineStr">
        <is>
          <t>PLADUR</t>
        </is>
      </c>
      <c r="E176" s="6" t="inlineStr">
        <is>
          <t>FERRETERIA INDUSTRIAL CARRUS S.L.</t>
        </is>
      </c>
      <c r="F176" s="6" t="inlineStr">
        <is>
          <t>IMPUTADO</t>
        </is>
      </c>
      <c r="G176" s="4" t="n">
        <v>6.16</v>
      </c>
    </row>
    <row r="177">
      <c r="A177" s="6" t="inlineStr">
        <is>
          <t>24010 - LA ALBERCA</t>
        </is>
      </c>
      <c r="B177" s="6" t="inlineStr">
        <is>
          <t>1.702,00</t>
        </is>
      </c>
      <c r="C177" s="6" t="inlineStr">
        <is>
          <t>14/06/2026</t>
        </is>
      </c>
      <c r="D177" s="6" t="inlineStr">
        <is>
          <t>ELECTRICIDAD</t>
        </is>
      </c>
      <c r="E177" s="6" t="inlineStr"/>
      <c r="F177" s="6" t="inlineStr">
        <is>
          <t>IMPUTADO</t>
        </is>
      </c>
      <c r="G177" s="4" t="n">
        <v>3444.02</v>
      </c>
    </row>
    <row r="178">
      <c r="A178" s="6" t="inlineStr">
        <is>
          <t>24010 - LA ALBERCA</t>
        </is>
      </c>
      <c r="B178" s="6" t="inlineStr">
        <is>
          <t>1.658,00</t>
        </is>
      </c>
      <c r="C178" s="6" t="inlineStr">
        <is>
          <t>29/05/2026</t>
        </is>
      </c>
      <c r="D178" s="6" t="inlineStr">
        <is>
          <t>MATERIAL OBRA</t>
        </is>
      </c>
      <c r="E178" s="6" t="inlineStr">
        <is>
          <t>MATERIALES DE CONSTRUCCION EL CARACOLES SL</t>
        </is>
      </c>
      <c r="F178" s="6" t="inlineStr">
        <is>
          <t>IMPUTADO</t>
        </is>
      </c>
      <c r="G178" s="4" t="n">
        <v>3279.39</v>
      </c>
    </row>
    <row r="179">
      <c r="A179" s="6" t="inlineStr">
        <is>
          <t>24010 - LA ALBERCA</t>
        </is>
      </c>
      <c r="B179" s="6" t="inlineStr">
        <is>
          <t>1.174,00</t>
        </is>
      </c>
      <c r="C179" s="6" t="inlineStr">
        <is>
          <t>18/03/2026</t>
        </is>
      </c>
      <c r="D179" s="6" t="inlineStr">
        <is>
          <t>PALA EXCAVADORA</t>
        </is>
      </c>
      <c r="E179" s="6" t="inlineStr">
        <is>
          <t>FRANCISO JAVIER SERNA GALVEZ</t>
        </is>
      </c>
      <c r="F179" s="6" t="inlineStr">
        <is>
          <t>IMPUTADO</t>
        </is>
      </c>
      <c r="G179" s="4" t="n">
        <v>3250</v>
      </c>
    </row>
    <row r="180">
      <c r="A180" s="6" t="inlineStr">
        <is>
          <t>24010 - LA ALBERCA</t>
        </is>
      </c>
      <c r="B180" s="6" t="inlineStr">
        <is>
          <t>536</t>
        </is>
      </c>
      <c r="C180" s="6" t="inlineStr">
        <is>
          <t>23/01/2026</t>
        </is>
      </c>
      <c r="D180" s="6" t="inlineStr">
        <is>
          <t>PORTES LA ALBERCA</t>
        </is>
      </c>
      <c r="E180" s="6" t="inlineStr">
        <is>
          <t>FRANCISO JAVIER SERNA GALVEZ</t>
        </is>
      </c>
      <c r="F180" s="6" t="inlineStr">
        <is>
          <t>IMPUTADO</t>
        </is>
      </c>
      <c r="G180" s="4" t="n">
        <v>2980</v>
      </c>
    </row>
    <row r="181">
      <c r="A181" s="6" t="inlineStr">
        <is>
          <t>24010 - LA ALBERCA</t>
        </is>
      </c>
      <c r="B181" s="6" t="inlineStr">
        <is>
          <t>1.251,00</t>
        </is>
      </c>
      <c r="C181" s="6" t="inlineStr">
        <is>
          <t>31/03/2026</t>
        </is>
      </c>
      <c r="D181" s="6" t="inlineStr">
        <is>
          <t>LLENADO LOSA #sotano</t>
        </is>
      </c>
      <c r="E181" s="6" t="inlineStr">
        <is>
          <t>GRUPO ALJEMA RELOSA SL.</t>
        </is>
      </c>
      <c r="F181" s="6" t="inlineStr">
        <is>
          <t>IMPUTADO</t>
        </is>
      </c>
      <c r="G181" s="4" t="n">
        <v>2772</v>
      </c>
    </row>
    <row r="182">
      <c r="A182" s="6" t="inlineStr">
        <is>
          <t>24010 - LA ALBERCA</t>
        </is>
      </c>
      <c r="B182" s="6" t="inlineStr">
        <is>
          <t>631</t>
        </is>
      </c>
      <c r="C182" s="6" t="inlineStr">
        <is>
          <t>23/01/2026</t>
        </is>
      </c>
      <c r="D182" s="6" t="inlineStr">
        <is>
          <t>FERRALLA LOSA</t>
        </is>
      </c>
      <c r="E182" s="6" t="inlineStr">
        <is>
          <t>FERRALLAS MONFORTE DEL CID SL.</t>
        </is>
      </c>
      <c r="F182" s="6" t="inlineStr">
        <is>
          <t>IMPUTADO</t>
        </is>
      </c>
      <c r="G182" s="4" t="n">
        <v>2492.96</v>
      </c>
    </row>
    <row r="183">
      <c r="A183" s="6" t="inlineStr">
        <is>
          <t>24010 - LA ALBERCA</t>
        </is>
      </c>
      <c r="B183" s="6" t="inlineStr">
        <is>
          <t>1.521,00</t>
        </is>
      </c>
      <c r="C183" s="6" t="inlineStr">
        <is>
          <t>29/04/2026</t>
        </is>
      </c>
      <c r="D183" s="6" t="inlineStr">
        <is>
          <t>GRESITE PISCINA Y MATERIAL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1633.85</v>
      </c>
    </row>
    <row r="184">
      <c r="A184" s="6" t="inlineStr">
        <is>
          <t>24010 - LA ALBERCA</t>
        </is>
      </c>
      <c r="B184" s="6" t="inlineStr">
        <is>
          <t>1.607,00</t>
        </is>
      </c>
      <c r="C184" s="6" t="inlineStr">
        <is>
          <t>10/05/2026</t>
        </is>
      </c>
      <c r="D184" s="6" t="inlineStr">
        <is>
          <t>HORMIGON LOSA</t>
        </is>
      </c>
      <c r="E184" s="6" t="inlineStr">
        <is>
          <t>GRUPO ALJEMA RELOSA SL.</t>
        </is>
      </c>
      <c r="F184" s="6" t="inlineStr">
        <is>
          <t>IMPUTADO</t>
        </is>
      </c>
      <c r="G184" s="4" t="n">
        <v>1538.5</v>
      </c>
    </row>
    <row r="185">
      <c r="A185" s="6" t="inlineStr">
        <is>
          <t>24010 - LA ALBERCA</t>
        </is>
      </c>
      <c r="B185" s="6" t="inlineStr">
        <is>
          <t>1.522,00</t>
        </is>
      </c>
      <c r="C185" s="6" t="inlineStr">
        <is>
          <t>28/04/2026</t>
        </is>
      </c>
      <c r="D185" s="6" t="inlineStr">
        <is>
          <t>PVC Y MATERIAL OBRA</t>
        </is>
      </c>
      <c r="E185" s="6" t="inlineStr">
        <is>
          <t>MATERIALES DE CONSTRUCCION EL CARACOLES SL</t>
        </is>
      </c>
      <c r="F185" s="6" t="inlineStr">
        <is>
          <t>IMPUTADO</t>
        </is>
      </c>
      <c r="G185" s="4" t="n">
        <v>1511.51</v>
      </c>
    </row>
    <row r="186">
      <c r="A186" s="6" t="inlineStr">
        <is>
          <t>24010 - LA ALBERCA</t>
        </is>
      </c>
      <c r="B186" s="6" t="inlineStr">
        <is>
          <t>1.560,00</t>
        </is>
      </c>
      <c r="C186" s="6" t="inlineStr">
        <is>
          <t>30/04/2026</t>
        </is>
      </c>
      <c r="D186" s="6" t="inlineStr">
        <is>
          <t>HORMIGÓN FORJADO H25 Y BOMBA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1508.5</v>
      </c>
    </row>
    <row r="187">
      <c r="A187" s="6" t="inlineStr">
        <is>
          <t>24010 - LA ALBERCA</t>
        </is>
      </c>
      <c r="B187" s="6" t="inlineStr">
        <is>
          <t>1.635,00</t>
        </is>
      </c>
      <c r="C187" s="6" t="inlineStr">
        <is>
          <t>25/05/2026</t>
        </is>
      </c>
      <c r="D187" s="6" t="inlineStr">
        <is>
          <t>FONTANERÍA</t>
        </is>
      </c>
      <c r="E187" s="6" t="inlineStr">
        <is>
          <t>FONTAFIX EAR</t>
        </is>
      </c>
      <c r="F187" s="6" t="inlineStr">
        <is>
          <t>IMPUTADO</t>
        </is>
      </c>
      <c r="G187" s="4" t="n">
        <v>1500</v>
      </c>
    </row>
    <row r="188">
      <c r="A188" s="6" t="inlineStr">
        <is>
          <t>24010 - LA ALBERCA</t>
        </is>
      </c>
      <c r="B188" s="6" t="inlineStr">
        <is>
          <t>1.589,00</t>
        </is>
      </c>
      <c r="C188" s="6" t="inlineStr">
        <is>
          <t>18/05/2026</t>
        </is>
      </c>
      <c r="D188" s="6" t="inlineStr">
        <is>
          <t>PRESUPUESTO Nº 613558</t>
        </is>
      </c>
      <c r="E188" s="6" t="inlineStr">
        <is>
          <t>LEROY MERLIN ESPAÑA SL</t>
        </is>
      </c>
      <c r="F188" s="6" t="inlineStr">
        <is>
          <t>IMPUTADO</t>
        </is>
      </c>
      <c r="G188" s="4" t="n">
        <v>1476.24</v>
      </c>
    </row>
    <row r="189">
      <c r="A189" s="6" t="inlineStr">
        <is>
          <t>24010 - LA ALBERCA</t>
        </is>
      </c>
      <c r="B189" s="6" t="inlineStr">
        <is>
          <t>1.632,00</t>
        </is>
      </c>
      <c r="C189" s="6" t="inlineStr">
        <is>
          <t>26/05/2026</t>
        </is>
      </c>
      <c r="D189" s="6" t="inlineStr">
        <is>
          <t>PRESUPUESTO Nº 623752</t>
        </is>
      </c>
      <c r="E189" s="6" t="inlineStr">
        <is>
          <t>LEROY MERLIN ESPAÑA SL</t>
        </is>
      </c>
      <c r="F189" s="6" t="inlineStr">
        <is>
          <t>IMPUTADO</t>
        </is>
      </c>
      <c r="G189" s="4" t="n">
        <v>1466.12</v>
      </c>
    </row>
    <row r="190">
      <c r="A190" s="6" t="inlineStr">
        <is>
          <t>24010 - LA ALBERCA</t>
        </is>
      </c>
      <c r="B190" s="6" t="inlineStr">
        <is>
          <t>1.483,00</t>
        </is>
      </c>
      <c r="C190" s="6" t="inlineStr">
        <is>
          <t>17/04/2026</t>
        </is>
      </c>
      <c r="D190" s="6" t="inlineStr">
        <is>
          <t>HIERRO #forjado sótano</t>
        </is>
      </c>
      <c r="E190" s="6" t="inlineStr">
        <is>
          <t>FERRALLAS MONFORTE DEL CID SL.</t>
        </is>
      </c>
      <c r="F190" s="6" t="inlineStr">
        <is>
          <t>IMPUTADO</t>
        </is>
      </c>
      <c r="G190" s="4" t="n">
        <v>1216</v>
      </c>
    </row>
    <row r="191">
      <c r="A191" s="6" t="inlineStr">
        <is>
          <t>24010 - LA ALBERCA</t>
        </is>
      </c>
      <c r="B191" s="6" t="inlineStr">
        <is>
          <t>1.683,00</t>
        </is>
      </c>
      <c r="C191" s="6" t="inlineStr">
        <is>
          <t>31/05/2026</t>
        </is>
      </c>
      <c r="D191" s="6" t="inlineStr">
        <is>
          <t>GRUA (TIRAR GRAVA)</t>
        </is>
      </c>
      <c r="E191" s="6" t="inlineStr">
        <is>
          <t>GRUAS Y MAQUINARIA PETREL SL</t>
        </is>
      </c>
      <c r="F191" s="6" t="inlineStr">
        <is>
          <t>IMPUTADO</t>
        </is>
      </c>
      <c r="G191" s="4" t="n">
        <v>1137.5</v>
      </c>
    </row>
    <row r="192">
      <c r="A192" s="6" t="inlineStr">
        <is>
          <t>24010 - LA ALBERCA</t>
        </is>
      </c>
      <c r="B192" s="6" t="inlineStr">
        <is>
          <t>1.597,00</t>
        </is>
      </c>
      <c r="C192" s="6" t="inlineStr">
        <is>
          <t>18/05/2026</t>
        </is>
      </c>
      <c r="D192" s="6" t="inlineStr">
        <is>
          <t>GRUA</t>
        </is>
      </c>
      <c r="E192" s="6" t="inlineStr">
        <is>
          <t>GRUAS Y MAQUINARIA PETREL SL</t>
        </is>
      </c>
      <c r="F192" s="6" t="inlineStr">
        <is>
          <t>IMPUTADO</t>
        </is>
      </c>
      <c r="G192" s="4" t="n">
        <v>1040</v>
      </c>
    </row>
    <row r="193">
      <c r="A193" s="6" t="inlineStr">
        <is>
          <t>24010 - LA ALBERCA</t>
        </is>
      </c>
      <c r="B193" s="6" t="inlineStr">
        <is>
          <t>1.520,00</t>
        </is>
      </c>
      <c r="C193" s="6" t="inlineStr">
        <is>
          <t>30/04/2026</t>
        </is>
      </c>
      <c r="D193" s="6" t="inlineStr">
        <is>
          <t>GRUA</t>
        </is>
      </c>
      <c r="E193" s="6" t="inlineStr">
        <is>
          <t>GRUAS Y MAQUINARIA PETREL SL</t>
        </is>
      </c>
      <c r="F193" s="6" t="inlineStr">
        <is>
          <t>IMPUTADO</t>
        </is>
      </c>
      <c r="G193" s="4" t="n">
        <v>1040</v>
      </c>
    </row>
    <row r="194">
      <c r="A194" s="6" t="inlineStr">
        <is>
          <t>24010 - LA ALBERCA</t>
        </is>
      </c>
      <c r="B194" s="6" t="inlineStr">
        <is>
          <t>612</t>
        </is>
      </c>
      <c r="C194" s="6" t="inlineStr">
        <is>
          <t>02/02/2026</t>
        </is>
      </c>
      <c r="D194" s="6" t="inlineStr">
        <is>
          <t>FRAN EXCAVACIONES</t>
        </is>
      </c>
      <c r="E194" s="6" t="inlineStr">
        <is>
          <t>FRANCISO JAVIER SERNA GALVEZ</t>
        </is>
      </c>
      <c r="F194" s="6" t="inlineStr">
        <is>
          <t>IMPUTADO</t>
        </is>
      </c>
      <c r="G194" s="4" t="n">
        <v>900</v>
      </c>
    </row>
    <row r="195">
      <c r="A195" s="6" t="inlineStr">
        <is>
          <t>24010 - LA ALBERCA</t>
        </is>
      </c>
      <c r="B195" s="6" t="inlineStr">
        <is>
          <t>1.563,00</t>
        </is>
      </c>
      <c r="C195" s="6" t="inlineStr">
        <is>
          <t>13/05/2026</t>
        </is>
      </c>
      <c r="D195" s="6" t="inlineStr">
        <is>
          <t>PRESUPUESTO 621346</t>
        </is>
      </c>
      <c r="E195" s="6" t="inlineStr">
        <is>
          <t>LEROY MERLIN ESPAÑA SL</t>
        </is>
      </c>
      <c r="F195" s="6" t="inlineStr">
        <is>
          <t>IMPUTADO</t>
        </is>
      </c>
      <c r="G195" s="4" t="n">
        <v>886.22</v>
      </c>
    </row>
    <row r="196">
      <c r="A196" s="6" t="inlineStr">
        <is>
          <t>24010 - LA ALBERCA</t>
        </is>
      </c>
      <c r="B196" s="6" t="inlineStr">
        <is>
          <t>867</t>
        </is>
      </c>
      <c r="C196" s="6" t="inlineStr">
        <is>
          <t>27/02/2026</t>
        </is>
      </c>
      <c r="D196" s="6" t="inlineStr">
        <is>
          <t>LEROY MERLIN (PRESUPUESTO 601688)</t>
        </is>
      </c>
      <c r="E196" s="6" t="inlineStr">
        <is>
          <t>LEROY MERLIN ESPAÑA SL</t>
        </is>
      </c>
      <c r="F196" s="6" t="inlineStr">
        <is>
          <t>IMPUTADO</t>
        </is>
      </c>
      <c r="G196" s="4" t="n">
        <v>885.86</v>
      </c>
    </row>
    <row r="197">
      <c r="A197" s="6" t="inlineStr">
        <is>
          <t>24010 - LA ALBERCA</t>
        </is>
      </c>
      <c r="B197" s="6" t="inlineStr">
        <is>
          <t>1.594,00</t>
        </is>
      </c>
      <c r="C197" s="6" t="inlineStr">
        <is>
          <t>19/05/2026</t>
        </is>
      </c>
      <c r="D197" s="6" t="inlineStr">
        <is>
          <t>MATERIAL OBRA</t>
        </is>
      </c>
      <c r="E197" s="6" t="inlineStr">
        <is>
          <t>MATERIALES DE CONSTRUCCION EL CARACOLES SL</t>
        </is>
      </c>
      <c r="F197" s="6" t="inlineStr">
        <is>
          <t>IMPUTADO</t>
        </is>
      </c>
      <c r="G197" s="4" t="n">
        <v>824.63</v>
      </c>
    </row>
    <row r="198">
      <c r="A198" s="6" t="inlineStr">
        <is>
          <t>24010 - LA ALBERCA</t>
        </is>
      </c>
      <c r="B198" s="6" t="inlineStr">
        <is>
          <t>1.482,00</t>
        </is>
      </c>
      <c r="C198" s="6" t="inlineStr">
        <is>
          <t>20/04/2026</t>
        </is>
      </c>
      <c r="D198" s="6" t="inlineStr">
        <is>
          <t>HORMIGON #relleno muro sótano</t>
        </is>
      </c>
      <c r="E198" s="6" t="inlineStr">
        <is>
          <t>GRUPO ALJEMA RELOSA SL.</t>
        </is>
      </c>
      <c r="F198" s="6" t="inlineStr">
        <is>
          <t>IMPUTADO</t>
        </is>
      </c>
      <c r="G198" s="4" t="n">
        <v>818</v>
      </c>
    </row>
    <row r="199">
      <c r="A199" s="6" t="inlineStr">
        <is>
          <t>24010 - LA ALBERCA</t>
        </is>
      </c>
      <c r="B199" s="6" t="inlineStr">
        <is>
          <t>1.590,00</t>
        </is>
      </c>
      <c r="C199" s="6" t="inlineStr">
        <is>
          <t>18/05/2026</t>
        </is>
      </c>
      <c r="D199" s="6" t="inlineStr">
        <is>
          <t>Wilson chapar gresite piscina</t>
        </is>
      </c>
      <c r="E199" s="6" t="inlineStr"/>
      <c r="F199" s="6" t="inlineStr">
        <is>
          <t>IMPUTADO</t>
        </is>
      </c>
      <c r="G199" s="4" t="n">
        <v>816</v>
      </c>
    </row>
    <row r="200">
      <c r="A200" s="6" t="inlineStr">
        <is>
          <t>24010 - LA ALBERCA</t>
        </is>
      </c>
      <c r="B200" s="6" t="inlineStr">
        <is>
          <t>1.249,00</t>
        </is>
      </c>
      <c r="C200" s="6" t="inlineStr">
        <is>
          <t>15/04/2026</t>
        </is>
      </c>
      <c r="D200" s="6" t="inlineStr">
        <is>
          <t>PRESUPUESTO Nº 616208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755.71</v>
      </c>
    </row>
    <row r="201">
      <c r="A201" s="6" t="inlineStr">
        <is>
          <t>24010 - LA ALBERCA</t>
        </is>
      </c>
      <c r="B201" s="6" t="inlineStr">
        <is>
          <t>1.704,00</t>
        </is>
      </c>
      <c r="C201" s="6" t="inlineStr">
        <is>
          <t>10/06/2026</t>
        </is>
      </c>
      <c r="D201" s="6" t="inlineStr">
        <is>
          <t>PULIDO SUELO SÓTANO</t>
        </is>
      </c>
      <c r="E201" s="6" t="inlineStr">
        <is>
          <t>JULIAN GRACIA RODRIGUEZ</t>
        </is>
      </c>
      <c r="F201" s="6" t="inlineStr">
        <is>
          <t>IMPUTADO</t>
        </is>
      </c>
      <c r="G201" s="4" t="n">
        <v>700</v>
      </c>
    </row>
    <row r="202">
      <c r="A202" s="6" t="inlineStr">
        <is>
          <t>24010 - LA ALBERCA</t>
        </is>
      </c>
      <c r="B202" s="6" t="inlineStr">
        <is>
          <t>1.534,00</t>
        </is>
      </c>
      <c r="C202" s="6" t="inlineStr">
        <is>
          <t>04/05/2026</t>
        </is>
      </c>
      <c r="D202" s="6" t="inlineStr">
        <is>
          <t>MATERIAL #pladur y albañileria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618.29</v>
      </c>
    </row>
    <row r="203">
      <c r="A203" s="6" t="inlineStr">
        <is>
          <t>24010 - LA ALBERCA</t>
        </is>
      </c>
      <c r="B203" s="6" t="inlineStr">
        <is>
          <t>1.802,00</t>
        </is>
      </c>
      <c r="C203" s="6" t="inlineStr">
        <is>
          <t>30/06/2026</t>
        </is>
      </c>
      <c r="D203" s="6" t="inlineStr">
        <is>
          <t>GRUA</t>
        </is>
      </c>
      <c r="E203" s="6" t="inlineStr">
        <is>
          <t>GRUAS Y MAQUINARIA PETREL SL</t>
        </is>
      </c>
      <c r="F203" s="6" t="inlineStr">
        <is>
          <t>IMPUTADO</t>
        </is>
      </c>
      <c r="G203" s="4" t="n">
        <v>585</v>
      </c>
    </row>
    <row r="204">
      <c r="A204" s="6" t="inlineStr">
        <is>
          <t>24010 - LA ALBERCA</t>
        </is>
      </c>
      <c r="B204" s="6" t="inlineStr">
        <is>
          <t>1.481,00</t>
        </is>
      </c>
      <c r="C204" s="6" t="inlineStr">
        <is>
          <t>21/04/2026</t>
        </is>
      </c>
      <c r="D204" s="6" t="inlineStr">
        <is>
          <t>GRUA</t>
        </is>
      </c>
      <c r="E204" s="6" t="inlineStr">
        <is>
          <t>GRUAS Y MAQUINARIA PETREL SL</t>
        </is>
      </c>
      <c r="F204" s="6" t="inlineStr">
        <is>
          <t>IMPUTADO</t>
        </is>
      </c>
      <c r="G204" s="4" t="n">
        <v>552.5</v>
      </c>
    </row>
    <row r="205">
      <c r="A205" s="6" t="inlineStr">
        <is>
          <t>24010 - LA ALBERCA</t>
        </is>
      </c>
      <c r="B205" s="6" t="inlineStr">
        <is>
          <t>1.682,00</t>
        </is>
      </c>
      <c r="C205" s="6" t="inlineStr">
        <is>
          <t>31/05/2026</t>
        </is>
      </c>
      <c r="D205" s="6" t="inlineStr">
        <is>
          <t>GRUA</t>
        </is>
      </c>
      <c r="E205" s="6" t="inlineStr">
        <is>
          <t>GRUAS Y MAQUINARIA PETREL SL</t>
        </is>
      </c>
      <c r="F205" s="6" t="inlineStr">
        <is>
          <t>IMPUTADO</t>
        </is>
      </c>
      <c r="G205" s="4" t="n">
        <v>552</v>
      </c>
    </row>
    <row r="206">
      <c r="A206" s="6" t="inlineStr">
        <is>
          <t>24010 - LA ALBERCA</t>
        </is>
      </c>
      <c r="B206" s="6" t="inlineStr">
        <is>
          <t>1.600,00</t>
        </is>
      </c>
      <c r="C206" s="6" t="inlineStr">
        <is>
          <t>16/05/2026</t>
        </is>
      </c>
      <c r="D206" s="6" t="inlineStr">
        <is>
          <t>EXCAVACION</t>
        </is>
      </c>
      <c r="E206" s="6" t="inlineStr">
        <is>
          <t>FRANCISO JAVIER SERNA GALVEZ</t>
        </is>
      </c>
      <c r="F206" s="6" t="inlineStr">
        <is>
          <t>IMPUTADO</t>
        </is>
      </c>
      <c r="G206" s="4" t="n">
        <v>500</v>
      </c>
    </row>
    <row r="207">
      <c r="A207" s="6" t="inlineStr">
        <is>
          <t>24010 - LA ALBERCA</t>
        </is>
      </c>
      <c r="B207" s="6" t="inlineStr">
        <is>
          <t>1.599,00</t>
        </is>
      </c>
      <c r="C207" s="6" t="inlineStr">
        <is>
          <t>18/05/2026</t>
        </is>
      </c>
      <c r="D207" s="6" t="inlineStr">
        <is>
          <t>GRUA</t>
        </is>
      </c>
      <c r="E207" s="6" t="inlineStr">
        <is>
          <t>GRUAS Y MAQUINARIA PETREL SL</t>
        </is>
      </c>
      <c r="F207" s="6" t="inlineStr">
        <is>
          <t>IMPUTADO</t>
        </is>
      </c>
      <c r="G207" s="4" t="n">
        <v>390</v>
      </c>
    </row>
    <row r="208">
      <c r="A208" s="6" t="inlineStr">
        <is>
          <t>24010 - LA ALBERCA</t>
        </is>
      </c>
      <c r="B208" s="6" t="inlineStr">
        <is>
          <t>1.637,00</t>
        </is>
      </c>
      <c r="C208" s="6" t="inlineStr">
        <is>
          <t>20/05/2026</t>
        </is>
      </c>
      <c r="D208" s="6" t="inlineStr">
        <is>
          <t>LLENADO CORONA PISCINA</t>
        </is>
      </c>
      <c r="E208" s="6" t="inlineStr">
        <is>
          <t>GRUPO ALJEMA RELOSA SL.</t>
        </is>
      </c>
      <c r="F208" s="6" t="inlineStr">
        <is>
          <t>IMPUTADO</t>
        </is>
      </c>
      <c r="G208" s="4" t="n">
        <v>356.25</v>
      </c>
    </row>
    <row r="209">
      <c r="A209" s="6" t="inlineStr">
        <is>
          <t>24010 - LA ALBERCA</t>
        </is>
      </c>
      <c r="B209" s="6" t="inlineStr">
        <is>
          <t>621</t>
        </is>
      </c>
      <c r="C209" s="6" t="inlineStr">
        <is>
          <t>31/01/2026</t>
        </is>
      </c>
      <c r="D209" s="6" t="inlineStr">
        <is>
          <t>HORMIGÓN</t>
        </is>
      </c>
      <c r="E209" s="6" t="inlineStr">
        <is>
          <t>GRUPO ALJEMA RELOSA SL.</t>
        </is>
      </c>
      <c r="F209" s="6" t="inlineStr">
        <is>
          <t>IMPUTADO</t>
        </is>
      </c>
      <c r="G209" s="4" t="n">
        <v>316.5</v>
      </c>
    </row>
    <row r="210">
      <c r="A210" s="6" t="inlineStr">
        <is>
          <t>24010 - LA ALBERCA</t>
        </is>
      </c>
      <c r="B210" s="6" t="inlineStr">
        <is>
          <t>1.541,00</t>
        </is>
      </c>
      <c r="C210" s="6" t="inlineStr">
        <is>
          <t>24/04/2026</t>
        </is>
      </c>
      <c r="D210" s="6" t="inlineStr">
        <is>
          <t>MATERIAL OBRA</t>
        </is>
      </c>
      <c r="E210" s="6" t="inlineStr">
        <is>
          <t>MATERIALES DE CONSTRUCCION EL CARACOLES SL</t>
        </is>
      </c>
      <c r="F210" s="6" t="inlineStr">
        <is>
          <t>IMPUTADO</t>
        </is>
      </c>
      <c r="G210" s="4" t="n">
        <v>230.76</v>
      </c>
    </row>
    <row r="211">
      <c r="A211" s="6" t="inlineStr">
        <is>
          <t>24010 - LA ALBERCA</t>
        </is>
      </c>
      <c r="B211" s="6" t="inlineStr">
        <is>
          <t>1.707,00</t>
        </is>
      </c>
      <c r="C211" s="6" t="inlineStr">
        <is>
          <t>27/05/2026</t>
        </is>
      </c>
      <c r="D211" s="6" t="inlineStr">
        <is>
          <t>MATERIALES</t>
        </is>
      </c>
      <c r="E211" s="6" t="inlineStr">
        <is>
          <t>BRICOLAJE BRICOMAN SLU</t>
        </is>
      </c>
      <c r="F211" s="6" t="inlineStr">
        <is>
          <t>IMPUTADO</t>
        </is>
      </c>
      <c r="G211" s="4" t="n">
        <v>201.1</v>
      </c>
    </row>
    <row r="212">
      <c r="A212" s="6" t="inlineStr">
        <is>
          <t>24010 - LA ALBERCA</t>
        </is>
      </c>
      <c r="B212" s="6" t="inlineStr">
        <is>
          <t>1.665,00</t>
        </is>
      </c>
      <c r="C212" s="6" t="inlineStr">
        <is>
          <t>08/06/2026</t>
        </is>
      </c>
      <c r="D212" s="6" t="inlineStr">
        <is>
          <t>FONTANERÍA</t>
        </is>
      </c>
      <c r="E212" s="6" t="inlineStr">
        <is>
          <t>FONTAFIX EAR</t>
        </is>
      </c>
      <c r="F212" s="6" t="inlineStr">
        <is>
          <t>IMPUTADO</t>
        </is>
      </c>
      <c r="G212" s="4" t="n">
        <v>200</v>
      </c>
    </row>
    <row r="213">
      <c r="A213" s="6" t="inlineStr">
        <is>
          <t>24010 - LA ALBERCA</t>
        </is>
      </c>
      <c r="B213" s="6" t="inlineStr">
        <is>
          <t>1.571,00</t>
        </is>
      </c>
      <c r="C213" s="6" t="inlineStr">
        <is>
          <t>14/05/2026</t>
        </is>
      </c>
      <c r="D213" s="6" t="inlineStr">
        <is>
          <t>PRESUPUESTO Nº 621460</t>
        </is>
      </c>
      <c r="E213" s="6" t="inlineStr">
        <is>
          <t>LEROY MERLIN ESPAÑA SL</t>
        </is>
      </c>
      <c r="F213" s="6" t="inlineStr">
        <is>
          <t>IMPUTADO</t>
        </is>
      </c>
      <c r="G213" s="4" t="n">
        <v>191.74</v>
      </c>
    </row>
    <row r="214">
      <c r="A214" s="6" t="inlineStr">
        <is>
          <t>24010 - LA ALBERCA</t>
        </is>
      </c>
      <c r="B214" s="6" t="inlineStr">
        <is>
          <t>1.638,00</t>
        </is>
      </c>
      <c r="C214" s="6" t="inlineStr">
        <is>
          <t>18/05/2026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162.5</v>
      </c>
    </row>
    <row r="215">
      <c r="A215" s="6" t="inlineStr">
        <is>
          <t>24010 - LA ALBERCA</t>
        </is>
      </c>
      <c r="B215" s="6" t="inlineStr">
        <is>
          <t>1.546,00</t>
        </is>
      </c>
      <c r="C215" s="6" t="inlineStr">
        <is>
          <t>24/04/2026</t>
        </is>
      </c>
      <c r="D215" s="6" t="inlineStr">
        <is>
          <t>MAQUINARIA</t>
        </is>
      </c>
      <c r="E215" s="6" t="inlineStr">
        <is>
          <t>WURTH ESPAÑA SA</t>
        </is>
      </c>
      <c r="F215" s="6" t="inlineStr">
        <is>
          <t>IMPUTADO</t>
        </is>
      </c>
      <c r="G215" s="4" t="n">
        <v>153.12</v>
      </c>
    </row>
    <row r="216">
      <c r="A216" s="6" t="inlineStr">
        <is>
          <t>24010 - LA ALBERCA</t>
        </is>
      </c>
      <c r="B216" s="6" t="inlineStr">
        <is>
          <t>1.701,00</t>
        </is>
      </c>
      <c r="C216" s="6" t="inlineStr">
        <is>
          <t>16/06/2026</t>
        </is>
      </c>
      <c r="D216" s="6" t="inlineStr">
        <is>
          <t>MATERIALES</t>
        </is>
      </c>
      <c r="E216" s="6" t="inlineStr">
        <is>
          <t>MATERIALES DE CONSTRUCCION EL CARACOLES SL</t>
        </is>
      </c>
      <c r="F216" s="6" t="inlineStr">
        <is>
          <t>IMPUTADO</t>
        </is>
      </c>
      <c r="G216" s="4" t="n">
        <v>139.43</v>
      </c>
    </row>
    <row r="217">
      <c r="A217" s="6" t="inlineStr">
        <is>
          <t>24010 - LA ALBERCA</t>
        </is>
      </c>
      <c r="B217" s="6" t="inlineStr">
        <is>
          <t>1.678,00</t>
        </is>
      </c>
      <c r="C217" s="6" t="inlineStr">
        <is>
          <t>02/06/2026</t>
        </is>
      </c>
      <c r="D217" s="6" t="inlineStr">
        <is>
          <t>PUESTA EN MARCHA PISCINA</t>
        </is>
      </c>
      <c r="E217" s="6" t="inlineStr">
        <is>
          <t>LEROY MERLIN ESPAÑA SL</t>
        </is>
      </c>
      <c r="F217" s="6" t="inlineStr">
        <is>
          <t>IMPUTADO</t>
        </is>
      </c>
      <c r="G217" s="4" t="n">
        <v>132.11</v>
      </c>
    </row>
    <row r="218">
      <c r="A218" s="6" t="inlineStr">
        <is>
          <t>24010 - LA ALBERCA</t>
        </is>
      </c>
      <c r="B218" s="6" t="inlineStr">
        <is>
          <t>1.676,00</t>
        </is>
      </c>
      <c r="C218" s="6" t="inlineStr">
        <is>
          <t>03/06/2026</t>
        </is>
      </c>
      <c r="D218" s="6" t="inlineStr">
        <is>
          <t>PINTURA PLADUR</t>
        </is>
      </c>
      <c r="E218" s="6" t="inlineStr">
        <is>
          <t>BRICOLAJE BRICOMAN SLU</t>
        </is>
      </c>
      <c r="F218" s="6" t="inlineStr">
        <is>
          <t>IMPUTADO</t>
        </is>
      </c>
      <c r="G218" s="4" t="n">
        <v>127.35</v>
      </c>
    </row>
    <row r="219">
      <c r="A219" s="6" t="inlineStr">
        <is>
          <t>24010 - LA ALBERCA</t>
        </is>
      </c>
      <c r="B219" s="6" t="inlineStr">
        <is>
          <t>1.733,00</t>
        </is>
      </c>
      <c r="C219" s="6" t="inlineStr">
        <is>
          <t>15/06/2026</t>
        </is>
      </c>
      <c r="D219" s="6" t="inlineStr">
        <is>
          <t>GRAVIN</t>
        </is>
      </c>
      <c r="E219" s="6" t="inlineStr">
        <is>
          <t>LA AVENIDA CERAMICAS SL.</t>
        </is>
      </c>
      <c r="F219" s="6" t="inlineStr">
        <is>
          <t>IMPUTADO</t>
        </is>
      </c>
      <c r="G219" s="4" t="n">
        <v>120</v>
      </c>
    </row>
    <row r="220">
      <c r="A220" s="6" t="inlineStr">
        <is>
          <t>24010 - LA ALBERCA</t>
        </is>
      </c>
      <c r="B220" s="6" t="inlineStr">
        <is>
          <t>1.705,00</t>
        </is>
      </c>
      <c r="C220" s="6" t="inlineStr">
        <is>
          <t>04/06/2026</t>
        </is>
      </c>
      <c r="D220" s="6" t="inlineStr">
        <is>
          <t>MATERIAL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118.55</v>
      </c>
    </row>
    <row r="221">
      <c r="A221" s="6" t="inlineStr">
        <is>
          <t>24010 - LA ALBERCA</t>
        </is>
      </c>
      <c r="B221" s="6" t="inlineStr">
        <is>
          <t>1.666,00</t>
        </is>
      </c>
      <c r="C221" s="6" t="inlineStr">
        <is>
          <t>06/06/2026</t>
        </is>
      </c>
      <c r="D221" s="6" t="inlineStr">
        <is>
          <t>LLENADO PISCINA</t>
        </is>
      </c>
      <c r="E221" s="6" t="inlineStr">
        <is>
          <t>AGUAS TERSAN SL.</t>
        </is>
      </c>
      <c r="F221" s="6" t="inlineStr">
        <is>
          <t>IMPUTADO</t>
        </is>
      </c>
      <c r="G221" s="4" t="n">
        <v>95</v>
      </c>
    </row>
    <row r="222">
      <c r="A222" s="6" t="inlineStr">
        <is>
          <t>24010 - LA ALBERCA</t>
        </is>
      </c>
      <c r="B222" s="6" t="inlineStr">
        <is>
          <t>1.505,00</t>
        </is>
      </c>
      <c r="C222" s="6" t="inlineStr">
        <is>
          <t>16/04/2026</t>
        </is>
      </c>
      <c r="D222" s="6" t="inlineStr">
        <is>
          <t>MATERIAL OBRA</t>
        </is>
      </c>
      <c r="E222" s="6" t="inlineStr">
        <is>
          <t>MATERIALES DE CONSTRUCCION EL CARACOLES SL</t>
        </is>
      </c>
      <c r="F222" s="6" t="inlineStr">
        <is>
          <t>IMPUTADO</t>
        </is>
      </c>
      <c r="G222" s="4" t="n">
        <v>93.2</v>
      </c>
    </row>
    <row r="223">
      <c r="A223" s="6" t="inlineStr">
        <is>
          <t>24010 - LA ALBERCA</t>
        </is>
      </c>
      <c r="B223" s="6" t="inlineStr">
        <is>
          <t>864</t>
        </is>
      </c>
      <c r="C223" s="6" t="inlineStr">
        <is>
          <t>17/02/2026</t>
        </is>
      </c>
      <c r="D223" s="6" t="inlineStr">
        <is>
          <t>DESAGÜES PVC</t>
        </is>
      </c>
      <c r="E223" s="6" t="inlineStr">
        <is>
          <t>MATERIALES DE CONSTRUCCION EL CARACOLES SL</t>
        </is>
      </c>
      <c r="F223" s="6" t="inlineStr">
        <is>
          <t>IMPUTADO</t>
        </is>
      </c>
      <c r="G223" s="4" t="n">
        <v>92.26000000000001</v>
      </c>
    </row>
    <row r="224">
      <c r="A224" s="6" t="inlineStr">
        <is>
          <t>24010 - LA ALBERCA</t>
        </is>
      </c>
      <c r="B224" s="6" t="inlineStr">
        <is>
          <t>1.694,00</t>
        </is>
      </c>
      <c r="C224" s="6" t="inlineStr">
        <is>
          <t>22/05/2026</t>
        </is>
      </c>
      <c r="D224" s="6" t="inlineStr">
        <is>
          <t>PLADUR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74.38</v>
      </c>
    </row>
    <row r="225">
      <c r="A225" s="6" t="inlineStr">
        <is>
          <t>24010 - LA ALBERCA</t>
        </is>
      </c>
      <c r="B225" s="6" t="inlineStr">
        <is>
          <t>1.214,00</t>
        </is>
      </c>
      <c r="C225" s="6" t="inlineStr">
        <is>
          <t>18/03/2026</t>
        </is>
      </c>
      <c r="D225" s="6" t="inlineStr">
        <is>
          <t>PLASTICO CIMENTACION</t>
        </is>
      </c>
      <c r="E225" s="6" t="inlineStr">
        <is>
          <t>JUAN JOSÉ MUÑOZ ROBLES</t>
        </is>
      </c>
      <c r="F225" s="6" t="inlineStr">
        <is>
          <t>IMPUTADO</t>
        </is>
      </c>
      <c r="G225" s="4" t="n">
        <v>72</v>
      </c>
    </row>
    <row r="226">
      <c r="A226" s="6" t="inlineStr">
        <is>
          <t>24010 - LA ALBERCA</t>
        </is>
      </c>
      <c r="B226" s="6" t="inlineStr">
        <is>
          <t>1.533,00</t>
        </is>
      </c>
      <c r="C226" s="6" t="inlineStr">
        <is>
          <t>05/05/2026</t>
        </is>
      </c>
      <c r="D226" s="6" t="inlineStr">
        <is>
          <t>MATERIAL OBRA</t>
        </is>
      </c>
      <c r="E226" s="6" t="inlineStr">
        <is>
          <t>MATERIALES DE CONSTRUCCION EL CARACOLES SL</t>
        </is>
      </c>
      <c r="F226" s="6" t="inlineStr">
        <is>
          <t>IMPUTADO</t>
        </is>
      </c>
      <c r="G226" s="4" t="n">
        <v>71.8</v>
      </c>
    </row>
    <row r="227">
      <c r="A227" s="6" t="inlineStr">
        <is>
          <t>24010 - LA ALBERCA</t>
        </is>
      </c>
      <c r="B227" s="6" t="inlineStr">
        <is>
          <t>865</t>
        </is>
      </c>
      <c r="C227" s="6" t="inlineStr">
        <is>
          <t>17/02/2026</t>
        </is>
      </c>
      <c r="D227" s="6" t="inlineStr">
        <is>
          <t>DESAGÜES PVC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70.73</v>
      </c>
    </row>
    <row r="228">
      <c r="A228" s="6" t="inlineStr">
        <is>
          <t>24010 - LA ALBERCA</t>
        </is>
      </c>
      <c r="B228" s="6" t="inlineStr">
        <is>
          <t>1.689,00</t>
        </is>
      </c>
      <c r="C228" s="6" t="inlineStr">
        <is>
          <t>28/05/2026</t>
        </is>
      </c>
      <c r="D228" s="6" t="inlineStr">
        <is>
          <t>ARQUETAS PLASTICO</t>
        </is>
      </c>
      <c r="E228" s="6" t="inlineStr">
        <is>
          <t>BRICOLAJE BRICOMAN SLU</t>
        </is>
      </c>
      <c r="F228" s="6" t="inlineStr">
        <is>
          <t>IMPUTADO</t>
        </is>
      </c>
      <c r="G228" s="4" t="n">
        <v>70.09</v>
      </c>
    </row>
    <row r="229">
      <c r="A229" s="6" t="inlineStr">
        <is>
          <t>24010 - LA ALBERCA</t>
        </is>
      </c>
      <c r="B229" s="6" t="inlineStr">
        <is>
          <t>1.670,00</t>
        </is>
      </c>
      <c r="C229" s="6" t="inlineStr">
        <is>
          <t>04/06/2026</t>
        </is>
      </c>
      <c r="D229" s="6" t="inlineStr">
        <is>
          <t>MATERIAL OBRA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38.73</v>
      </c>
    </row>
    <row r="230">
      <c r="A230" s="6" t="inlineStr">
        <is>
          <t>24010 - LA ALBERCA</t>
        </is>
      </c>
      <c r="B230" s="6" t="inlineStr">
        <is>
          <t>1.588,00</t>
        </is>
      </c>
      <c r="C230" s="6" t="inlineStr">
        <is>
          <t>22/04/2026</t>
        </is>
      </c>
      <c r="D230" s="6" t="inlineStr">
        <is>
          <t>MATERIAL OBRA</t>
        </is>
      </c>
      <c r="E230" s="6" t="inlineStr">
        <is>
          <t>UNICO CM SL.</t>
        </is>
      </c>
      <c r="F230" s="6" t="inlineStr">
        <is>
          <t>IMPUTADO</t>
        </is>
      </c>
      <c r="G230" s="4" t="n">
        <v>30.8</v>
      </c>
    </row>
    <row r="231">
      <c r="A231" s="6" t="inlineStr">
        <is>
          <t>24010 - LA ALBERCA</t>
        </is>
      </c>
      <c r="B231" s="6" t="inlineStr">
        <is>
          <t>1.530,00</t>
        </is>
      </c>
      <c r="C231" s="6" t="inlineStr">
        <is>
          <t>22/04/2026</t>
        </is>
      </c>
      <c r="D231" s="6" t="inlineStr">
        <is>
          <t>MATERIAL OBRA</t>
        </is>
      </c>
      <c r="E231" s="6" t="inlineStr">
        <is>
          <t>UNICO CM SL.</t>
        </is>
      </c>
      <c r="F231" s="6" t="inlineStr">
        <is>
          <t>IMPUTADO</t>
        </is>
      </c>
      <c r="G231" s="4" t="n">
        <v>30.8</v>
      </c>
    </row>
    <row r="232">
      <c r="A232" s="6" t="inlineStr">
        <is>
          <t>24010 - LA ALBERCA</t>
        </is>
      </c>
      <c r="B232" s="6" t="inlineStr">
        <is>
          <t>1.596,00</t>
        </is>
      </c>
      <c r="C232" s="6" t="inlineStr">
        <is>
          <t>18/05/2026</t>
        </is>
      </c>
      <c r="D232" s="6" t="inlineStr">
        <is>
          <t>PLADUR HABITACION</t>
        </is>
      </c>
      <c r="E232" s="6" t="inlineStr">
        <is>
          <t>LEROY MERLIN ESPAÑA SL</t>
        </is>
      </c>
      <c r="F232" s="6" t="inlineStr">
        <is>
          <t>IMPUTADO</t>
        </is>
      </c>
      <c r="G232" s="4" t="n">
        <v>27.56</v>
      </c>
    </row>
    <row r="233">
      <c r="A233" s="6" t="inlineStr">
        <is>
          <t>24010 - LA ALBERCA</t>
        </is>
      </c>
      <c r="B233" s="6" t="inlineStr">
        <is>
          <t>1.668,00</t>
        </is>
      </c>
      <c r="C233" s="6" t="inlineStr">
        <is>
          <t>04/06/2026</t>
        </is>
      </c>
      <c r="D233" s="6" t="inlineStr">
        <is>
          <t>PINTURA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26.86</v>
      </c>
    </row>
    <row r="234">
      <c r="A234" s="6" t="inlineStr">
        <is>
          <t>24010 - LA ALBERCA</t>
        </is>
      </c>
      <c r="B234" s="6" t="inlineStr">
        <is>
          <t>1.679,00</t>
        </is>
      </c>
      <c r="C234" s="6" t="inlineStr">
        <is>
          <t>01/06/2026</t>
        </is>
      </c>
      <c r="D234" s="6" t="inlineStr">
        <is>
          <t>DESAGÜES</t>
        </is>
      </c>
      <c r="E234" s="6" t="inlineStr">
        <is>
          <t>BRICOLAJE BRICOMAN SLU</t>
        </is>
      </c>
      <c r="F234" s="6" t="inlineStr">
        <is>
          <t>IMPUTADO</t>
        </is>
      </c>
      <c r="G234" s="4" t="n">
        <v>22.77</v>
      </c>
    </row>
    <row r="235">
      <c r="A235" s="6" t="inlineStr">
        <is>
          <t>24010 - LA ALBERCA</t>
        </is>
      </c>
      <c r="B235" s="6" t="inlineStr">
        <is>
          <t>1.687,00</t>
        </is>
      </c>
      <c r="C235" s="6" t="inlineStr">
        <is>
          <t>28/05/2026</t>
        </is>
      </c>
      <c r="D235" s="6" t="inlineStr">
        <is>
          <t>MATERAL OBRA</t>
        </is>
      </c>
      <c r="E235" s="6" t="inlineStr">
        <is>
          <t>LEROY MERLIN ESPAÑA SL</t>
        </is>
      </c>
      <c r="F235" s="6" t="inlineStr">
        <is>
          <t>IMPUTADO</t>
        </is>
      </c>
      <c r="G235" s="4" t="n">
        <v>19.34</v>
      </c>
    </row>
    <row r="236">
      <c r="A236" s="6" t="inlineStr">
        <is>
          <t>24010 - LA ALBERCA</t>
        </is>
      </c>
      <c r="B236" s="6" t="inlineStr">
        <is>
          <t>642</t>
        </is>
      </c>
      <c r="C236" s="6" t="inlineStr">
        <is>
          <t>12/01/2026</t>
        </is>
      </c>
      <c r="D236" s="6" t="inlineStr">
        <is>
          <t>YESO CANTONERAS</t>
        </is>
      </c>
      <c r="E236" s="6" t="inlineStr">
        <is>
          <t>BRICOLAJE BRICOMAN SLU</t>
        </is>
      </c>
      <c r="F236" s="6" t="inlineStr">
        <is>
          <t>IMPUTADO</t>
        </is>
      </c>
      <c r="G236" s="4" t="n">
        <v>17.1</v>
      </c>
    </row>
    <row r="237">
      <c r="A237" s="6" t="inlineStr">
        <is>
          <t>24010 - LA ALBERCA</t>
        </is>
      </c>
      <c r="B237" s="6" t="inlineStr">
        <is>
          <t>1.686,00</t>
        </is>
      </c>
      <c r="C237" s="6" t="inlineStr">
        <is>
          <t>29/05/2026</t>
        </is>
      </c>
      <c r="D237" s="6" t="inlineStr">
        <is>
          <t>PASTA PLADUR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16.58</v>
      </c>
    </row>
    <row r="238">
      <c r="A238" s="6" t="inlineStr">
        <is>
          <t>24010 - LA ALBERCA</t>
        </is>
      </c>
      <c r="B238" s="6" t="inlineStr">
        <is>
          <t>1.677,00</t>
        </is>
      </c>
      <c r="C238" s="6" t="inlineStr">
        <is>
          <t>02/06/2026</t>
        </is>
      </c>
      <c r="D238" s="6" t="inlineStr">
        <is>
          <t>PINTURA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16.07</v>
      </c>
    </row>
    <row r="239">
      <c r="A239" s="6" t="inlineStr">
        <is>
          <t>24010 - LA ALBERCA</t>
        </is>
      </c>
      <c r="B239" s="6" t="inlineStr">
        <is>
          <t>645</t>
        </is>
      </c>
      <c r="C239" s="6" t="inlineStr">
        <is>
          <t>07/01/2026</t>
        </is>
      </c>
      <c r="D239" s="6" t="inlineStr">
        <is>
          <t>MONOCAPA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15.74</v>
      </c>
    </row>
    <row r="240">
      <c r="A240" s="6" t="inlineStr">
        <is>
          <t>24010 - LA ALBERCA</t>
        </is>
      </c>
      <c r="B240" s="6" t="inlineStr">
        <is>
          <t>1.669,00</t>
        </is>
      </c>
      <c r="C240" s="6" t="inlineStr">
        <is>
          <t>04/06/2026</t>
        </is>
      </c>
      <c r="D240" s="6" t="inlineStr">
        <is>
          <t>MATERIAL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14.92</v>
      </c>
    </row>
    <row r="241">
      <c r="A241" s="6" t="inlineStr">
        <is>
          <t>24010 - LA ALBERCA</t>
        </is>
      </c>
      <c r="B241" s="6" t="inlineStr">
        <is>
          <t>1.231,00</t>
        </is>
      </c>
      <c r="C241" s="6" t="inlineStr">
        <is>
          <t>11/03/2026</t>
        </is>
      </c>
      <c r="D241" s="6" t="inlineStr">
        <is>
          <t>MATERIAL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13.92</v>
      </c>
    </row>
    <row r="242">
      <c r="A242" s="6" t="inlineStr">
        <is>
          <t>24010 - LA ALBERCA</t>
        </is>
      </c>
      <c r="B242" s="6" t="inlineStr">
        <is>
          <t>1.609,00</t>
        </is>
      </c>
      <c r="C242" s="6" t="inlineStr">
        <is>
          <t>04/05/2026</t>
        </is>
      </c>
      <c r="D242" s="6" t="inlineStr">
        <is>
          <t>MATERIAL</t>
        </is>
      </c>
      <c r="E242" s="6" t="inlineStr">
        <is>
          <t>JOSE ANTONIO GALLEGO LOPEZ</t>
        </is>
      </c>
      <c r="F242" s="6" t="inlineStr">
        <is>
          <t>IMPUTADO</t>
        </is>
      </c>
      <c r="G242" s="4" t="n">
        <v>9.68</v>
      </c>
    </row>
    <row r="243">
      <c r="A243" s="6" t="inlineStr">
        <is>
          <t>24010 - LA ALBERCA</t>
        </is>
      </c>
      <c r="B243" s="6" t="inlineStr">
        <is>
          <t>1.703,00</t>
        </is>
      </c>
      <c r="C243" s="6" t="inlineStr">
        <is>
          <t>11/06/2026</t>
        </is>
      </c>
      <c r="D243" s="6" t="inlineStr">
        <is>
          <t>GRAVA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9.42</v>
      </c>
    </row>
    <row r="244">
      <c r="A244" s="6" t="inlineStr">
        <is>
          <t>24010 - LA ALBERCA</t>
        </is>
      </c>
      <c r="B244" s="6" t="inlineStr">
        <is>
          <t>1.688,00</t>
        </is>
      </c>
      <c r="C244" s="6" t="inlineStr">
        <is>
          <t>28/05/2026</t>
        </is>
      </c>
      <c r="D244" s="6" t="inlineStr">
        <is>
          <t>FONTANERIA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5.03</v>
      </c>
    </row>
    <row r="245">
      <c r="A245" s="6" t="inlineStr">
        <is>
          <t>24010 - LA ALBERCA</t>
        </is>
      </c>
      <c r="B245" s="6" t="inlineStr">
        <is>
          <t>1.268,00</t>
        </is>
      </c>
      <c r="C245" s="6" t="inlineStr">
        <is>
          <t>08/04/2026</t>
        </is>
      </c>
      <c r="D245" s="6" t="inlineStr">
        <is>
          <t>MATERIAL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2.6</v>
      </c>
    </row>
    <row r="246">
      <c r="A246" s="6" t="inlineStr">
        <is>
          <t>24014 - LA PARTE DIFICIL, MURCIA</t>
        </is>
      </c>
      <c r="B246" s="6" t="inlineStr">
        <is>
          <t>613</t>
        </is>
      </c>
      <c r="C246" s="6" t="inlineStr">
        <is>
          <t>02/02/2026</t>
        </is>
      </c>
      <c r="D246" s="6" t="inlineStr">
        <is>
          <t>MEJORAS B FRAN EXCAVADORA</t>
        </is>
      </c>
      <c r="E246" s="6" t="inlineStr">
        <is>
          <t>FRANCISO JAVIER SERNA GALVEZ</t>
        </is>
      </c>
      <c r="F246" s="6" t="inlineStr">
        <is>
          <t>SIN IMPUTAR</t>
        </is>
      </c>
      <c r="G246" s="4" t="n">
        <v>340</v>
      </c>
    </row>
    <row r="247">
      <c r="A247" s="6" t="inlineStr">
        <is>
          <t>24015 - LA PARTE DIFICIL, ALICANTE</t>
        </is>
      </c>
      <c r="B247" s="6" t="inlineStr">
        <is>
          <t>1.157,00</t>
        </is>
      </c>
      <c r="C247" s="6" t="inlineStr">
        <is>
          <t>10/03/2026</t>
        </is>
      </c>
      <c r="D247" s="6" t="inlineStr">
        <is>
          <t>HORMIGON CIMENTACION #estructura hormigon</t>
        </is>
      </c>
      <c r="E247" s="6" t="inlineStr">
        <is>
          <t>EXPRESS HORMIGONES SL.</t>
        </is>
      </c>
      <c r="F247" s="6" t="inlineStr">
        <is>
          <t>IMPUTADO</t>
        </is>
      </c>
      <c r="G247" s="4" t="n">
        <v>1576</v>
      </c>
    </row>
    <row r="248">
      <c r="A248" s="6" t="inlineStr">
        <is>
          <t>24015 - LA PARTE DIFICIL, ALICANTE</t>
        </is>
      </c>
      <c r="B248" s="6" t="inlineStr">
        <is>
          <t>1.131,00</t>
        </is>
      </c>
      <c r="C248" s="6" t="inlineStr">
        <is>
          <t>15/03/2026</t>
        </is>
      </c>
      <c r="D248" s="6" t="inlineStr">
        <is>
          <t>BOMBA CIMENTACION</t>
        </is>
      </c>
      <c r="E248" s="6" t="inlineStr">
        <is>
          <t>LORENZO ROMERO MORALEDA</t>
        </is>
      </c>
      <c r="F248" s="6" t="inlineStr">
        <is>
          <t>IMPUTADO</t>
        </is>
      </c>
      <c r="G248" s="4" t="n">
        <v>1360</v>
      </c>
    </row>
    <row r="249">
      <c r="A249" s="6" t="inlineStr">
        <is>
          <t>24015 - LA PARTE DIFICIL, ALICANTE</t>
        </is>
      </c>
      <c r="B249" s="6" t="inlineStr">
        <is>
          <t>801</t>
        </is>
      </c>
      <c r="C249" s="6" t="inlineStr">
        <is>
          <t>13/01/2026</t>
        </is>
      </c>
      <c r="D249" s="6" t="inlineStr">
        <is>
          <t>MEJORAS  B  CONTENEDORES</t>
        </is>
      </c>
      <c r="E249" s="6" t="inlineStr">
        <is>
          <t>SIRVENT E HIJOS SL</t>
        </is>
      </c>
      <c r="F249" s="6" t="inlineStr">
        <is>
          <t>SIN IMPUTAR</t>
        </is>
      </c>
      <c r="G249" s="4" t="n">
        <v>653</v>
      </c>
    </row>
    <row r="250">
      <c r="A250" s="6" t="inlineStr">
        <is>
          <t>24015 - LA PARTE DIFICIL, ALICANTE</t>
        </is>
      </c>
      <c r="B250" s="6" t="inlineStr">
        <is>
          <t>898</t>
        </is>
      </c>
      <c r="C250" s="6" t="inlineStr">
        <is>
          <t>09/02/2026</t>
        </is>
      </c>
      <c r="D250" s="6" t="inlineStr">
        <is>
          <t>PRESUPUESTO Nº605142-2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601.51</v>
      </c>
    </row>
    <row r="251">
      <c r="A251" s="6" t="inlineStr">
        <is>
          <t>24015 - LA PARTE DIFICIL, ALICANTE</t>
        </is>
      </c>
      <c r="B251" s="6" t="inlineStr">
        <is>
          <t>897</t>
        </is>
      </c>
      <c r="C251" s="6" t="inlineStr">
        <is>
          <t>09/02/2026</t>
        </is>
      </c>
      <c r="D251" s="6" t="inlineStr">
        <is>
          <t>PRESUPUESTO Nº 605142-1</t>
        </is>
      </c>
      <c r="E251" s="6" t="inlineStr">
        <is>
          <t>LEROY MERLIN ESPAÑA SL</t>
        </is>
      </c>
      <c r="F251" s="6" t="inlineStr">
        <is>
          <t>IMPUTADO</t>
        </is>
      </c>
      <c r="G251" s="4" t="n">
        <v>584.48</v>
      </c>
    </row>
    <row r="252">
      <c r="A252" s="6" t="inlineStr">
        <is>
          <t>24015 - LA PARTE DIFICIL, ALICANTE</t>
        </is>
      </c>
      <c r="B252" s="6" t="inlineStr">
        <is>
          <t>869</t>
        </is>
      </c>
      <c r="C252" s="6" t="inlineStr">
        <is>
          <t>27/02/2026</t>
        </is>
      </c>
      <c r="D252" s="6" t="inlineStr">
        <is>
          <t>Leroy Merlin (presupuesto 605357)</t>
        </is>
      </c>
      <c r="E252" s="6" t="inlineStr">
        <is>
          <t>LEROY MERLIN ESPAÑA SL</t>
        </is>
      </c>
      <c r="F252" s="6" t="inlineStr">
        <is>
          <t>IMPUTADO</t>
        </is>
      </c>
      <c r="G252" s="4" t="n">
        <v>401.26</v>
      </c>
    </row>
    <row r="253">
      <c r="A253" s="6" t="inlineStr">
        <is>
          <t>24015 - LA PARTE DIFICIL, ALICANTE</t>
        </is>
      </c>
      <c r="B253" s="6" t="inlineStr">
        <is>
          <t>1.642,00</t>
        </is>
      </c>
      <c r="C253" s="6" t="inlineStr">
        <is>
          <t>01/04/2026</t>
        </is>
      </c>
      <c r="D253" s="6" t="inlineStr">
        <is>
          <t>CONTENEDOR #mejoras B</t>
        </is>
      </c>
      <c r="E253" s="6" t="inlineStr">
        <is>
          <t>SIRVENT E HIJOS SL</t>
        </is>
      </c>
      <c r="F253" s="6" t="inlineStr">
        <is>
          <t>SIN IMPUTAR</t>
        </is>
      </c>
      <c r="G253" s="4" t="n">
        <v>180</v>
      </c>
    </row>
    <row r="254">
      <c r="A254" s="6" t="inlineStr">
        <is>
          <t>24015 - LA PARTE DIFICIL, ALICANTE</t>
        </is>
      </c>
      <c r="B254" s="6" t="inlineStr">
        <is>
          <t>1.633,00</t>
        </is>
      </c>
      <c r="C254" s="6" t="inlineStr">
        <is>
          <t>27/05/2026</t>
        </is>
      </c>
      <c r="D254" s="6" t="inlineStr">
        <is>
          <t>CONTENEDOR #mejoras B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180</v>
      </c>
    </row>
    <row r="255">
      <c r="A255" s="6" t="inlineStr">
        <is>
          <t>24015 - LA PARTE DIFICIL, ALICANTE</t>
        </is>
      </c>
      <c r="B255" s="6" t="inlineStr">
        <is>
          <t>896</t>
        </is>
      </c>
      <c r="C255" s="6" t="inlineStr">
        <is>
          <t>17/02/2026</t>
        </is>
      </c>
      <c r="D255" s="6" t="inlineStr">
        <is>
          <t>CONTENEDORES</t>
        </is>
      </c>
      <c r="E255" s="6" t="inlineStr">
        <is>
          <t>SIRVENT E HIJOS SL</t>
        </is>
      </c>
      <c r="F255" s="6" t="inlineStr">
        <is>
          <t>IMPUTADO</t>
        </is>
      </c>
      <c r="G255" s="4" t="n">
        <v>180</v>
      </c>
    </row>
    <row r="256">
      <c r="A256" s="6" t="inlineStr">
        <is>
          <t>24015 - LA PARTE DIFICIL, ALICANTE</t>
        </is>
      </c>
      <c r="B256" s="6" t="inlineStr">
        <is>
          <t>800</t>
        </is>
      </c>
      <c r="C256" s="6" t="inlineStr">
        <is>
          <t>20/01/2026</t>
        </is>
      </c>
      <c r="D256" s="6" t="inlineStr">
        <is>
          <t>MEJORAS B CONTENEDORES</t>
        </is>
      </c>
      <c r="E256" s="6" t="inlineStr">
        <is>
          <t>SIRVENT E HIJOS SL</t>
        </is>
      </c>
      <c r="F256" s="6" t="inlineStr">
        <is>
          <t>SIN IMPUTAR</t>
        </is>
      </c>
      <c r="G256" s="4" t="n">
        <v>180</v>
      </c>
    </row>
    <row r="257">
      <c r="A257" s="6" t="inlineStr">
        <is>
          <t>24015 - LA PARTE DIFICIL, ALICANTE</t>
        </is>
      </c>
      <c r="B257" s="6" t="inlineStr">
        <is>
          <t>799</t>
        </is>
      </c>
      <c r="C257" s="6" t="inlineStr">
        <is>
          <t>20/01/2026</t>
        </is>
      </c>
      <c r="D257" s="6" t="inlineStr">
        <is>
          <t>MEJORAS B CONTENEDOR</t>
        </is>
      </c>
      <c r="E257" s="6" t="inlineStr">
        <is>
          <t>SIRVENT E HIJOS SL</t>
        </is>
      </c>
      <c r="F257" s="6" t="inlineStr">
        <is>
          <t>SIN IMPUTAR</t>
        </is>
      </c>
      <c r="G257" s="4" t="n">
        <v>180</v>
      </c>
    </row>
    <row r="258">
      <c r="A258" s="6" t="inlineStr">
        <is>
          <t>24015 - LA PARTE DIFICIL, ALICANTE</t>
        </is>
      </c>
      <c r="B258" s="6" t="inlineStr">
        <is>
          <t>798</t>
        </is>
      </c>
      <c r="C258" s="6" t="inlineStr">
        <is>
          <t>20/01/2026</t>
        </is>
      </c>
      <c r="D258" s="6" t="inlineStr">
        <is>
          <t>MEJORAS B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797</t>
        </is>
      </c>
      <c r="C259" s="6" t="inlineStr">
        <is>
          <t>21/01/2026</t>
        </is>
      </c>
      <c r="D259" s="6" t="inlineStr">
        <is>
          <t>MEJORAS B CONTENEDORES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796</t>
        </is>
      </c>
      <c r="C260" s="6" t="inlineStr">
        <is>
          <t>22/01/2026</t>
        </is>
      </c>
      <c r="D260" s="6" t="inlineStr">
        <is>
          <t>MEJORAS B CONTENEDORES</t>
        </is>
      </c>
      <c r="E260" s="6" t="inlineStr">
        <is>
          <t>SIRVENT E HIJOS SL</t>
        </is>
      </c>
      <c r="F260" s="6" t="inlineStr">
        <is>
          <t>SIN IMPUTAR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795</t>
        </is>
      </c>
      <c r="C261" s="6" t="inlineStr">
        <is>
          <t>26/01/2026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1.112,00</t>
        </is>
      </c>
      <c r="C262" s="6" t="inlineStr">
        <is>
          <t>04/03/2026</t>
        </is>
      </c>
      <c r="D262" s="6" t="inlineStr">
        <is>
          <t>TOMA TIERRA CIMENTACIÓN</t>
        </is>
      </c>
      <c r="E262" s="6" t="inlineStr">
        <is>
          <t>BRICOLAJE BRICOMAN SLU</t>
        </is>
      </c>
      <c r="F262" s="6" t="inlineStr">
        <is>
          <t>IMPUTADO</t>
        </is>
      </c>
      <c r="G262" s="4" t="n">
        <v>155.67</v>
      </c>
    </row>
    <row r="263">
      <c r="A263" s="6" t="inlineStr">
        <is>
          <t>24015 - LA PARTE DIFICIL, ALICANTE</t>
        </is>
      </c>
      <c r="B263" s="6" t="inlineStr">
        <is>
          <t>1.134,00</t>
        </is>
      </c>
      <c r="C263" s="6" t="inlineStr">
        <is>
          <t>10/03/2026</t>
        </is>
      </c>
      <c r="D263" s="6" t="inlineStr">
        <is>
          <t>ESTRUCTURA METÁLICA</t>
        </is>
      </c>
      <c r="E263" s="6" t="inlineStr">
        <is>
          <t>ALEJANDRO CUTILLAS CAÑABATE</t>
        </is>
      </c>
      <c r="F263" s="6" t="inlineStr">
        <is>
          <t>IMPUTADO</t>
        </is>
      </c>
      <c r="G263" s="4" t="n">
        <v>107.4</v>
      </c>
    </row>
    <row r="264">
      <c r="A264" s="6" t="inlineStr">
        <is>
          <t>24015 - LA PARTE DIFICIL, ALICANTE</t>
        </is>
      </c>
      <c r="B264" s="6" t="inlineStr">
        <is>
          <t>1.208,00</t>
        </is>
      </c>
      <c r="C264" s="6" t="inlineStr">
        <is>
          <t>27/03/2026</t>
        </is>
      </c>
      <c r="D264" s="6" t="inlineStr">
        <is>
          <t>TOMAS CIMENTACION</t>
        </is>
      </c>
      <c r="E264" s="6" t="inlineStr">
        <is>
          <t>LABORATORIO DE INGENIERIA Y MEDIO AMBIENTE SA.</t>
        </is>
      </c>
      <c r="F264" s="6" t="inlineStr">
        <is>
          <t>IMPUTADO</t>
        </is>
      </c>
      <c r="G264" s="4" t="n">
        <v>100</v>
      </c>
    </row>
    <row r="265">
      <c r="A265" s="6" t="inlineStr">
        <is>
          <t>24015 - LA PARTE DIFICIL, ALICANTE</t>
        </is>
      </c>
      <c r="B265" s="6" t="inlineStr">
        <is>
          <t>1.238,00</t>
        </is>
      </c>
      <c r="C265" s="6" t="inlineStr">
        <is>
          <t>27/03/2026</t>
        </is>
      </c>
      <c r="D265" s="6" t="inlineStr">
        <is>
          <t>TIMA TIERRA CIMENTACION</t>
        </is>
      </c>
      <c r="E265" s="6" t="inlineStr">
        <is>
          <t>BRICOLAJE BRICOMAN SLU</t>
        </is>
      </c>
      <c r="F265" s="6" t="inlineStr">
        <is>
          <t>SIN IMPUTAR</t>
        </is>
      </c>
      <c r="G265" s="4" t="n">
        <v>23.27</v>
      </c>
    </row>
    <row r="266">
      <c r="A266" s="6" t="inlineStr">
        <is>
          <t>24015 - LA PARTE DIFICIL, ALICANTE</t>
        </is>
      </c>
      <c r="B266" s="6" t="inlineStr">
        <is>
          <t>1.111,00</t>
        </is>
      </c>
      <c r="C266" s="6" t="inlineStr">
        <is>
          <t>27/02/2026</t>
        </is>
      </c>
      <c r="D266" s="6" t="inlineStr">
        <is>
          <t>DISCOS DE CORTE</t>
        </is>
      </c>
      <c r="E266" s="6" t="inlineStr">
        <is>
          <t>LEROY MERLIN ESPAÑA SL</t>
        </is>
      </c>
      <c r="F266" s="6" t="inlineStr">
        <is>
          <t>IMPUTADO</t>
        </is>
      </c>
      <c r="G266" s="4" t="n">
        <v>7.62</v>
      </c>
    </row>
    <row r="267">
      <c r="A267" s="6" t="inlineStr">
        <is>
          <t>24016 - PLAZA CIRCULAR</t>
        </is>
      </c>
      <c r="B267" s="6" t="inlineStr">
        <is>
          <t>1.761,00</t>
        </is>
      </c>
      <c r="C267" s="6" t="inlineStr">
        <is>
          <t>29/06/2026</t>
        </is>
      </c>
      <c r="D267" s="6" t="inlineStr">
        <is>
          <t>CARPINTERIA MADERA</t>
        </is>
      </c>
      <c r="E267" s="6" t="inlineStr">
        <is>
          <t>CARPINTERIA EBANISTERIA BAMBU SL.</t>
        </is>
      </c>
      <c r="F267" s="6" t="inlineStr">
        <is>
          <t>IMPUTADO</t>
        </is>
      </c>
      <c r="G267" s="4" t="n">
        <v>31917.5</v>
      </c>
    </row>
    <row r="268">
      <c r="A268" s="6" t="inlineStr">
        <is>
          <t>24016 - PLAZA CIRCULAR</t>
        </is>
      </c>
      <c r="B268" s="6" t="inlineStr">
        <is>
          <t>1.279,00</t>
        </is>
      </c>
      <c r="C268" s="6" t="inlineStr">
        <is>
          <t>17/04/2026</t>
        </is>
      </c>
      <c r="D268" s="6" t="inlineStr">
        <is>
          <t>50% VENTANAS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26914.33</v>
      </c>
    </row>
    <row r="269">
      <c r="A269" s="6" t="inlineStr">
        <is>
          <t>24016 - PLAZA CIRCULAR</t>
        </is>
      </c>
      <c r="B269" s="6" t="inlineStr">
        <is>
          <t>1.833,00</t>
        </is>
      </c>
      <c r="C269" s="6" t="inlineStr">
        <is>
          <t>17/07/2026</t>
        </is>
      </c>
      <c r="D269" s="6" t="inlineStr">
        <is>
          <t>VENTANAS</t>
        </is>
      </c>
      <c r="E269" s="6" t="inlineStr">
        <is>
          <t>ALEJANDRO CUTILLAS CAÑABATE</t>
        </is>
      </c>
      <c r="F269" s="6" t="inlineStr">
        <is>
          <t>IMPUTADO</t>
        </is>
      </c>
      <c r="G269" s="4" t="n">
        <v>26029.38</v>
      </c>
    </row>
    <row r="270">
      <c r="A270" s="6" t="inlineStr">
        <is>
          <t>24016 - PLAZA CIRCULAR</t>
        </is>
      </c>
      <c r="B270" s="6" t="inlineStr">
        <is>
          <t>1.710,00</t>
        </is>
      </c>
      <c r="C270" s="6" t="inlineStr">
        <is>
          <t>15/06/2026</t>
        </is>
      </c>
      <c r="D270" s="6" t="inlineStr">
        <is>
          <t>MÁQUINAS DE AIRE</t>
        </is>
      </c>
      <c r="E270" s="6" t="inlineStr">
        <is>
          <t>GOCLIMA FRIO Y CALOR SL</t>
        </is>
      </c>
      <c r="F270" s="6" t="inlineStr">
        <is>
          <t>IMPUTADO</t>
        </is>
      </c>
      <c r="G270" s="4" t="n">
        <v>22641.6</v>
      </c>
    </row>
    <row r="271">
      <c r="A271" s="6" t="inlineStr">
        <is>
          <t>24016 - PLAZA CIRCULAR</t>
        </is>
      </c>
      <c r="B271" s="6" t="inlineStr">
        <is>
          <t>1.709,00</t>
        </is>
      </c>
      <c r="C271" s="6" t="inlineStr">
        <is>
          <t>15/06/2026</t>
        </is>
      </c>
      <c r="D271" s="6" t="inlineStr">
        <is>
          <t>AIRE ACONDICIONADO + AIRE ZONE</t>
        </is>
      </c>
      <c r="E271" s="6" t="inlineStr">
        <is>
          <t>GOCLIMA FRIO Y CALOR SL</t>
        </is>
      </c>
      <c r="F271" s="6" t="inlineStr">
        <is>
          <t>IMPUTADO</t>
        </is>
      </c>
      <c r="G271" s="4" t="n">
        <v>13256</v>
      </c>
    </row>
    <row r="272">
      <c r="A272" s="6" t="inlineStr">
        <is>
          <t>24016 - PLAZA CIRCULAR</t>
        </is>
      </c>
      <c r="B272" s="6" t="inlineStr">
        <is>
          <t>1.176,00</t>
        </is>
      </c>
      <c r="C272" s="6" t="inlineStr">
        <is>
          <t>23/03/2026</t>
        </is>
      </c>
      <c r="D272" s="6" t="inlineStr">
        <is>
          <t>PRESUPUESTO Nº 621310 (fecha cambio 13/05/2026)</t>
        </is>
      </c>
      <c r="E272" s="6" t="inlineStr">
        <is>
          <t>LEROY MERLIN ESPAÑA SL</t>
        </is>
      </c>
      <c r="F272" s="6" t="inlineStr">
        <is>
          <t>IMPUTADO</t>
        </is>
      </c>
      <c r="G272" s="4" t="n">
        <v>8220.07</v>
      </c>
    </row>
    <row r="273">
      <c r="A273" s="6" t="inlineStr">
        <is>
          <t>24016 - PLAZA CIRCULAR</t>
        </is>
      </c>
      <c r="B273" s="6" t="inlineStr">
        <is>
          <t>1.499,00</t>
        </is>
      </c>
      <c r="C273" s="6" t="inlineStr">
        <is>
          <t>24/04/2026</t>
        </is>
      </c>
      <c r="D273" s="6" t="inlineStr">
        <is>
          <t>PORCELANICO #pavimento y alicatado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8000</v>
      </c>
    </row>
    <row r="274">
      <c r="A274" s="6" t="inlineStr">
        <is>
          <t>24016 - PLAZA CIRCULAR</t>
        </is>
      </c>
      <c r="B274" s="6" t="inlineStr">
        <is>
          <t>1.857,00</t>
        </is>
      </c>
      <c r="C274" s="6" t="inlineStr">
        <is>
          <t>23/07/2026</t>
        </is>
      </c>
      <c r="D274" s="6" t="inlineStr">
        <is>
          <t>SUELO RADIANTE</t>
        </is>
      </c>
      <c r="E274" s="6" t="inlineStr">
        <is>
          <t>HIDROELIKE SLL</t>
        </is>
      </c>
      <c r="F274" s="6" t="inlineStr">
        <is>
          <t>IMPUTADO</t>
        </is>
      </c>
      <c r="G274" s="4" t="n">
        <v>6527.56</v>
      </c>
    </row>
    <row r="275">
      <c r="A275" s="6" t="inlineStr">
        <is>
          <t>24016 - PLAZA CIRCULAR</t>
        </is>
      </c>
      <c r="B275" s="6" t="inlineStr">
        <is>
          <t>1.856,00</t>
        </is>
      </c>
      <c r="C275" s="6" t="inlineStr">
        <is>
          <t>23/07/2026</t>
        </is>
      </c>
      <c r="D275" s="6" t="inlineStr">
        <is>
          <t>SUELO RADIANTE</t>
        </is>
      </c>
      <c r="E275" s="6" t="inlineStr">
        <is>
          <t>HIDROELIKE SLL</t>
        </is>
      </c>
      <c r="F275" s="6" t="inlineStr">
        <is>
          <t>IMPUTADO</t>
        </is>
      </c>
      <c r="G275" s="4" t="n">
        <v>6527.56</v>
      </c>
    </row>
    <row r="276">
      <c r="A276" s="6" t="inlineStr">
        <is>
          <t>24016 - PLAZA CIRCULAR</t>
        </is>
      </c>
      <c r="B276" s="6" t="inlineStr">
        <is>
          <t>1.869,00</t>
        </is>
      </c>
      <c r="C276" s="6" t="inlineStr">
        <is>
          <t>01/08/2026</t>
        </is>
      </c>
      <c r="D276" s="6" t="inlineStr">
        <is>
          <t>INSTALACION ELECTRICA</t>
        </is>
      </c>
      <c r="E276" s="6" t="inlineStr"/>
      <c r="F276" s="6" t="inlineStr">
        <is>
          <t>IMPUTADO</t>
        </is>
      </c>
      <c r="G276" s="4" t="n">
        <v>3352.45</v>
      </c>
    </row>
    <row r="277">
      <c r="A277" s="6" t="inlineStr">
        <is>
          <t>24016 - PLAZA CIRCULAR</t>
        </is>
      </c>
      <c r="B277" s="6" t="inlineStr">
        <is>
          <t>1.868,00</t>
        </is>
      </c>
      <c r="C277" s="6" t="inlineStr">
        <is>
          <t>01/08/2026</t>
        </is>
      </c>
      <c r="D277" s="6" t="inlineStr">
        <is>
          <t>INSTALACIÓN ELECTRICA</t>
        </is>
      </c>
      <c r="E277" s="6" t="inlineStr"/>
      <c r="F277" s="6" t="inlineStr">
        <is>
          <t>IMPUTADO</t>
        </is>
      </c>
      <c r="G277" s="4" t="n">
        <v>3105.52</v>
      </c>
    </row>
    <row r="278">
      <c r="A278" s="6" t="inlineStr">
        <is>
          <t>24016 - PLAZA CIRCULAR</t>
        </is>
      </c>
      <c r="B278" s="6" t="inlineStr">
        <is>
          <t>1.577,00</t>
        </is>
      </c>
      <c r="C278" s="6" t="inlineStr">
        <is>
          <t>11/05/2026</t>
        </is>
      </c>
      <c r="D278" s="6" t="inlineStr">
        <is>
          <t>MEJORA - ESTORES / VENTANAS #mejora estores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3054.1</v>
      </c>
    </row>
    <row r="279">
      <c r="A279" s="6" t="inlineStr">
        <is>
          <t>24016 - PLAZA CIRCULAR</t>
        </is>
      </c>
      <c r="B279" s="6" t="inlineStr">
        <is>
          <t>1.871,00</t>
        </is>
      </c>
      <c r="C279" s="6" t="inlineStr">
        <is>
          <t>25/08/2026</t>
        </is>
      </c>
      <c r="D279" s="6" t="inlineStr">
        <is>
          <t>INSTALACION ELECTRICA</t>
        </is>
      </c>
      <c r="E279" s="6" t="inlineStr"/>
      <c r="F279" s="6" t="inlineStr">
        <is>
          <t>SIN IMPUTAR</t>
        </is>
      </c>
      <c r="G279" s="4" t="n">
        <v>-3036.67</v>
      </c>
    </row>
    <row r="280">
      <c r="A280" s="6" t="inlineStr">
        <is>
          <t>24016 - PLAZA CIRCULAR</t>
        </is>
      </c>
      <c r="B280" s="6" t="inlineStr">
        <is>
          <t>1.866,00</t>
        </is>
      </c>
      <c r="C280" s="6" t="inlineStr">
        <is>
          <t>01/08/2026</t>
        </is>
      </c>
      <c r="D280" s="6" t="inlineStr">
        <is>
          <t>INSTALACION ELECTRICA</t>
        </is>
      </c>
      <c r="E280" s="6" t="inlineStr"/>
      <c r="F280" s="6" t="inlineStr">
        <is>
          <t>SIN IMPUTAR</t>
        </is>
      </c>
      <c r="G280" s="4" t="n">
        <v>3036.67</v>
      </c>
    </row>
    <row r="281">
      <c r="A281" s="6" t="inlineStr">
        <is>
          <t>24016 - PLAZA CIRCULAR</t>
        </is>
      </c>
      <c r="B281" s="6" t="inlineStr">
        <is>
          <t>1.485,00</t>
        </is>
      </c>
      <c r="C281" s="6" t="inlineStr">
        <is>
          <t>16/04/2026</t>
        </is>
      </c>
      <c r="D281" s="6" t="inlineStr">
        <is>
          <t>INSTALACIÓN ELÉCTRICA</t>
        </is>
      </c>
      <c r="E281" s="6" t="inlineStr"/>
      <c r="F281" s="6" t="inlineStr">
        <is>
          <t>IMPUTADO</t>
        </is>
      </c>
      <c r="G281" s="4" t="n">
        <v>3036.67</v>
      </c>
    </row>
    <row r="282">
      <c r="A282" s="6" t="inlineStr">
        <is>
          <t>24016 - PLAZA CIRCULAR</t>
        </is>
      </c>
      <c r="B282" s="6" t="inlineStr">
        <is>
          <t>1.855,00</t>
        </is>
      </c>
      <c r="C282" s="6" t="inlineStr">
        <is>
          <t>23/07/2026</t>
        </is>
      </c>
      <c r="D282" s="6" t="inlineStr">
        <is>
          <t>FONTANERIA</t>
        </is>
      </c>
      <c r="E282" s="6" t="inlineStr">
        <is>
          <t>HIDROELIKE SLL</t>
        </is>
      </c>
      <c r="F282" s="6" t="inlineStr">
        <is>
          <t>IMPUTADO</t>
        </is>
      </c>
      <c r="G282" s="4" t="n">
        <v>3000</v>
      </c>
    </row>
    <row r="283">
      <c r="A283" s="6" t="inlineStr">
        <is>
          <t>24016 - PLAZA CIRCULAR</t>
        </is>
      </c>
      <c r="B283" s="6" t="inlineStr">
        <is>
          <t>1.854,00</t>
        </is>
      </c>
      <c r="C283" s="6" t="inlineStr">
        <is>
          <t>23/07/2026</t>
        </is>
      </c>
      <c r="D283" s="6" t="inlineStr">
        <is>
          <t>FONTANERIA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3000</v>
      </c>
    </row>
    <row r="284">
      <c r="A284" s="6" t="inlineStr">
        <is>
          <t>24016 - PLAZA CIRCULAR</t>
        </is>
      </c>
      <c r="B284" s="6" t="inlineStr">
        <is>
          <t>1.870,00</t>
        </is>
      </c>
      <c r="C284" s="6" t="inlineStr">
        <is>
          <t>25/08/2026</t>
        </is>
      </c>
      <c r="D284" s="6" t="inlineStr">
        <is>
          <t>INSTALACION ELÉCTRICA</t>
        </is>
      </c>
      <c r="E284" s="6" t="inlineStr"/>
      <c r="F284" s="6" t="inlineStr">
        <is>
          <t>SIN IMPUTAR</t>
        </is>
      </c>
      <c r="G284" s="4" t="n">
        <v>-2853.33</v>
      </c>
    </row>
    <row r="285">
      <c r="A285" s="6" t="inlineStr">
        <is>
          <t>24016 - PLAZA CIRCULAR</t>
        </is>
      </c>
      <c r="B285" s="6" t="inlineStr">
        <is>
          <t>1.867,00</t>
        </is>
      </c>
      <c r="C285" s="6" t="inlineStr">
        <is>
          <t>01/08/2026</t>
        </is>
      </c>
      <c r="D285" s="6" t="inlineStr">
        <is>
          <t>INSTALACION ELÉCTRICA</t>
        </is>
      </c>
      <c r="E285" s="6" t="inlineStr"/>
      <c r="F285" s="6" t="inlineStr">
        <is>
          <t>SIN IMPUTAR</t>
        </is>
      </c>
      <c r="G285" s="4" t="n">
        <v>2853.33</v>
      </c>
    </row>
    <row r="286">
      <c r="A286" s="6" t="inlineStr">
        <is>
          <t>24016 - PLAZA CIRCULAR</t>
        </is>
      </c>
      <c r="B286" s="6" t="inlineStr">
        <is>
          <t>1.484,00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2853.33</v>
      </c>
    </row>
    <row r="287">
      <c r="A287" s="6" t="inlineStr">
        <is>
          <t>24016 - PLAZA CIRCULAR</t>
        </is>
      </c>
      <c r="B287" s="6" t="inlineStr">
        <is>
          <t>894</t>
        </is>
      </c>
      <c r="C287" s="6" t="inlineStr">
        <is>
          <t>02/03/2026</t>
        </is>
      </c>
      <c r="D287" s="6" t="inlineStr">
        <is>
          <t>GRUA MUDANZA LA FLOTA #levantamiento pavimento/albañileria</t>
        </is>
      </c>
      <c r="E287" s="6" t="inlineStr">
        <is>
          <t>MUDANZAS LA FLOTA SL</t>
        </is>
      </c>
      <c r="F287" s="6" t="inlineStr">
        <is>
          <t>IMPUTADO</t>
        </is>
      </c>
      <c r="G287" s="4" t="n">
        <v>2310</v>
      </c>
    </row>
    <row r="288">
      <c r="A288" s="6" t="inlineStr">
        <is>
          <t>24016 - PLAZA CIRCULAR</t>
        </is>
      </c>
      <c r="B288" s="6" t="inlineStr">
        <is>
          <t>601</t>
        </is>
      </c>
      <c r="C288" s="6" t="inlineStr">
        <is>
          <t>04/02/2026</t>
        </is>
      </c>
      <c r="D288" s="6" t="inlineStr">
        <is>
          <t>GRUA DE LA FLOTA</t>
        </is>
      </c>
      <c r="E288" s="6" t="inlineStr">
        <is>
          <t>MUDANZAS LA FLOTA SL</t>
        </is>
      </c>
      <c r="F288" s="6" t="inlineStr">
        <is>
          <t>IMPUTADO</t>
        </is>
      </c>
      <c r="G288" s="4" t="n">
        <v>1985</v>
      </c>
    </row>
    <row r="289">
      <c r="A289" s="6" t="inlineStr">
        <is>
          <t>24016 - PLAZA CIRCULAR</t>
        </is>
      </c>
      <c r="B289" s="6" t="inlineStr">
        <is>
          <t>1.787,00</t>
        </is>
      </c>
      <c r="C289" s="6" t="inlineStr">
        <is>
          <t>26/06/2026</t>
        </is>
      </c>
      <c r="D289" s="6" t="inlineStr">
        <is>
          <t>BAJANTES COMUNIDAD</t>
        </is>
      </c>
      <c r="E289" s="6" t="inlineStr">
        <is>
          <t>HIDROELIKE SLL</t>
        </is>
      </c>
      <c r="F289" s="6" t="inlineStr">
        <is>
          <t>IMPUTADO</t>
        </is>
      </c>
      <c r="G289" s="4" t="n">
        <v>1542.05</v>
      </c>
    </row>
    <row r="290">
      <c r="A290" s="6" t="inlineStr">
        <is>
          <t>24016 - PLAZA CIRCULAR</t>
        </is>
      </c>
      <c r="B290" s="6" t="inlineStr">
        <is>
          <t>1.115,00</t>
        </is>
      </c>
      <c r="C290" s="6" t="inlineStr">
        <is>
          <t>28/02/2026</t>
        </is>
      </c>
      <c r="D290" s="6" t="inlineStr">
        <is>
          <t>CONTENEDORES #levantamiento pavimento</t>
        </is>
      </c>
      <c r="E290" s="6" t="inlineStr">
        <is>
          <t>CONTENEDORES REUNIDOS SL</t>
        </is>
      </c>
      <c r="F290" s="6" t="inlineStr">
        <is>
          <t>IMPUTADO</t>
        </is>
      </c>
      <c r="G290" s="4" t="n">
        <v>1450</v>
      </c>
    </row>
    <row r="291">
      <c r="A291" s="6" t="inlineStr">
        <is>
          <t>24016 - PLAZA CIRCULAR</t>
        </is>
      </c>
      <c r="B291" s="6" t="inlineStr">
        <is>
          <t>839</t>
        </is>
      </c>
      <c r="C291" s="6" t="inlineStr">
        <is>
          <t>31/01/2026</t>
        </is>
      </c>
      <c r="D291" s="6" t="inlineStr">
        <is>
          <t>CONTENEDORES #Material/Proveedor</t>
        </is>
      </c>
      <c r="E291" s="6" t="inlineStr">
        <is>
          <t>CONTENEDORES REUNIDOS SL</t>
        </is>
      </c>
      <c r="F291" s="6" t="inlineStr">
        <is>
          <t>IMPUTADO</t>
        </is>
      </c>
      <c r="G291" s="4" t="n">
        <v>1090</v>
      </c>
    </row>
    <row r="292">
      <c r="A292" s="6" t="inlineStr">
        <is>
          <t>24016 - PLAZA CIRCULAR</t>
        </is>
      </c>
      <c r="B292" s="6" t="inlineStr">
        <is>
          <t>1.793,00</t>
        </is>
      </c>
      <c r="C292" s="6" t="inlineStr">
        <is>
          <t>07/07/2026</t>
        </is>
      </c>
      <c r="D292" s="6" t="inlineStr">
        <is>
          <t>COLA PORCELANICO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1059.2</v>
      </c>
    </row>
    <row r="293">
      <c r="A293" s="6" t="inlineStr">
        <is>
          <t>24016 - PLAZA CIRCULAR</t>
        </is>
      </c>
      <c r="B293" s="6" t="inlineStr">
        <is>
          <t>1.879,00</t>
        </is>
      </c>
      <c r="C293" s="6" t="inlineStr">
        <is>
          <t>31/07/2026</t>
        </is>
      </c>
      <c r="D293" s="6" t="inlineStr">
        <is>
          <t>CONTENEDORES</t>
        </is>
      </c>
      <c r="E293" s="6" t="inlineStr">
        <is>
          <t>CONTENEDORES REUNIDOS SL</t>
        </is>
      </c>
      <c r="F293" s="6" t="inlineStr">
        <is>
          <t>IMPUTADO</t>
        </is>
      </c>
      <c r="G293" s="4" t="n">
        <v>1015</v>
      </c>
    </row>
    <row r="294">
      <c r="A294" s="6" t="inlineStr">
        <is>
          <t>24016 - PLAZA CIRCULAR</t>
        </is>
      </c>
      <c r="B294" s="6" t="inlineStr">
        <is>
          <t>1.532,00</t>
        </is>
      </c>
      <c r="C294" s="6" t="inlineStr">
        <is>
          <t>05/05/2026</t>
        </is>
      </c>
      <c r="D294" s="6" t="inlineStr">
        <is>
          <t>MUDANZA LA FLOTA</t>
        </is>
      </c>
      <c r="E294" s="6" t="inlineStr">
        <is>
          <t>MUDANZAS LA FLOTA SL</t>
        </is>
      </c>
      <c r="F294" s="6" t="inlineStr">
        <is>
          <t>IMPUTADO</t>
        </is>
      </c>
      <c r="G294" s="4" t="n">
        <v>982.5</v>
      </c>
    </row>
    <row r="295">
      <c r="A295" s="6" t="inlineStr">
        <is>
          <t>24016 - PLAZA CIRCULAR</t>
        </is>
      </c>
      <c r="B295" s="6" t="inlineStr">
        <is>
          <t>1.258,00</t>
        </is>
      </c>
      <c r="C295" s="6" t="inlineStr">
        <is>
          <t>13/04/2026</t>
        </is>
      </c>
      <c r="D295" s="6" t="inlineStr">
        <is>
          <t>PLATAFORMA FLOTA #albañileria</t>
        </is>
      </c>
      <c r="E295" s="6" t="inlineStr">
        <is>
          <t>MUDANZAS LA FLOTA SL</t>
        </is>
      </c>
      <c r="F295" s="6" t="inlineStr">
        <is>
          <t>IMPUTADO</t>
        </is>
      </c>
      <c r="G295" s="4" t="n">
        <v>920</v>
      </c>
    </row>
    <row r="296">
      <c r="A296" s="6" t="inlineStr">
        <is>
          <t>24016 - PLAZA CIRCULAR</t>
        </is>
      </c>
      <c r="B296" s="6" t="inlineStr">
        <is>
          <t>1.649,00</t>
        </is>
      </c>
      <c r="C296" s="6" t="inlineStr">
        <is>
          <t>02/06/2026</t>
        </is>
      </c>
      <c r="D296" s="6" t="inlineStr">
        <is>
          <t>GRUA LA FLOTA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638.75</v>
      </c>
    </row>
    <row r="297">
      <c r="A297" s="6" t="inlineStr">
        <is>
          <t>24016 - PLAZA CIRCULAR</t>
        </is>
      </c>
      <c r="B297" s="6" t="inlineStr">
        <is>
          <t>1.894,00</t>
        </is>
      </c>
      <c r="C297" s="6" t="inlineStr">
        <is>
          <t>31/07/2026</t>
        </is>
      </c>
      <c r="D297" s="6" t="inlineStr">
        <is>
          <t>GRUA</t>
        </is>
      </c>
      <c r="E297" s="6" t="inlineStr">
        <is>
          <t>GRUAS Y MAQUINARIA PETREL SL</t>
        </is>
      </c>
      <c r="F297" s="6" t="inlineStr">
        <is>
          <t>IMPUTADO</t>
        </is>
      </c>
      <c r="G297" s="4" t="n">
        <v>585</v>
      </c>
    </row>
    <row r="298">
      <c r="A298" s="6" t="inlineStr">
        <is>
          <t>24016 - PLAZA CIRCULAR</t>
        </is>
      </c>
      <c r="B298" s="6" t="inlineStr">
        <is>
          <t>1.711,00</t>
        </is>
      </c>
      <c r="C298" s="6" t="inlineStr">
        <is>
          <t>14/06/2026</t>
        </is>
      </c>
      <c r="D298" s="6" t="inlineStr">
        <is>
          <t>GRIFERIA EMPOTRADA</t>
        </is>
      </c>
      <c r="E298" s="6" t="inlineStr">
        <is>
          <t>SALTOKI ALICANTE SL.</t>
        </is>
      </c>
      <c r="F298" s="6" t="inlineStr">
        <is>
          <t>IMPUTADO</t>
        </is>
      </c>
      <c r="G298" s="4" t="n">
        <v>579.25</v>
      </c>
    </row>
    <row r="299">
      <c r="A299" s="6" t="inlineStr">
        <is>
          <t>24016 - PLAZA CIRCULAR</t>
        </is>
      </c>
      <c r="B299" s="6" t="inlineStr">
        <is>
          <t>1.652,00</t>
        </is>
      </c>
      <c r="C299" s="6" t="inlineStr">
        <is>
          <t>31/05/2026</t>
        </is>
      </c>
      <c r="D299" s="6" t="inlineStr">
        <is>
          <t>CONTENEDOR</t>
        </is>
      </c>
      <c r="E299" s="6" t="inlineStr">
        <is>
          <t>CONTENEDORES REUNIDOS SL</t>
        </is>
      </c>
      <c r="F299" s="6" t="inlineStr">
        <is>
          <t>IMPUTADO</t>
        </is>
      </c>
      <c r="G299" s="4" t="n">
        <v>290</v>
      </c>
    </row>
    <row r="300">
      <c r="A300" s="6" t="inlineStr">
        <is>
          <t>24016 - PLAZA CIRCULAR</t>
        </is>
      </c>
      <c r="B300" s="6" t="inlineStr">
        <is>
          <t>1.572,00</t>
        </is>
      </c>
      <c r="C300" s="6" t="inlineStr">
        <is>
          <t>13/05/2026</t>
        </is>
      </c>
      <c r="D300" s="6" t="inlineStr">
        <is>
          <t>CASETON PLADUR</t>
        </is>
      </c>
      <c r="E300" s="6" t="inlineStr">
        <is>
          <t>SAINT GOBAIN IDAPLAC SL</t>
        </is>
      </c>
      <c r="F300" s="6" t="inlineStr">
        <is>
          <t>IMPUTADO</t>
        </is>
      </c>
      <c r="G300" s="4" t="n">
        <v>248.99</v>
      </c>
    </row>
    <row r="301">
      <c r="A301" s="6" t="inlineStr">
        <is>
          <t>24016 - PLAZA CIRCULAR</t>
        </is>
      </c>
      <c r="B301" s="6" t="inlineStr">
        <is>
          <t>1.585,00</t>
        </is>
      </c>
      <c r="C301" s="6" t="inlineStr">
        <is>
          <t>04/05/2026</t>
        </is>
      </c>
      <c r="D301" s="6" t="inlineStr">
        <is>
          <t>ESTRUCTURA PLADUR</t>
        </is>
      </c>
      <c r="E301" s="6" t="inlineStr">
        <is>
          <t>BRICOLAJE BRICOMAN SLU</t>
        </is>
      </c>
      <c r="F301" s="6" t="inlineStr">
        <is>
          <t>IMPUTADO</t>
        </is>
      </c>
      <c r="G301" s="4" t="n">
        <v>213.09</v>
      </c>
    </row>
    <row r="302">
      <c r="A302" s="6" t="inlineStr">
        <is>
          <t>24016 - PLAZA CIRCULAR</t>
        </is>
      </c>
      <c r="B302" s="6" t="inlineStr">
        <is>
          <t>1.727,00</t>
        </is>
      </c>
      <c r="C302" s="6" t="inlineStr">
        <is>
          <t>01/04/2026</t>
        </is>
      </c>
      <c r="D302" s="6" t="inlineStr">
        <is>
          <t>PRIMERA TOMA</t>
        </is>
      </c>
      <c r="E302" s="6" t="inlineStr">
        <is>
          <t>MOVE2GO SL.</t>
        </is>
      </c>
      <c r="F302" s="6" t="inlineStr">
        <is>
          <t>IMPUTADO</t>
        </is>
      </c>
      <c r="G302" s="4" t="n">
        <v>195</v>
      </c>
    </row>
    <row r="303">
      <c r="A303" s="6" t="inlineStr">
        <is>
          <t>24016 - PLAZA CIRCULAR</t>
        </is>
      </c>
      <c r="B303" s="6" t="inlineStr">
        <is>
          <t>1.684,00</t>
        </is>
      </c>
      <c r="C303" s="6" t="inlineStr">
        <is>
          <t>31/05/2026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195</v>
      </c>
    </row>
    <row r="304">
      <c r="A304" s="6" t="inlineStr">
        <is>
          <t>24016 - PLAZA CIRCULAR</t>
        </is>
      </c>
      <c r="B304" s="6" t="inlineStr">
        <is>
          <t>1.697,00</t>
        </is>
      </c>
      <c r="C304" s="6" t="inlineStr">
        <is>
          <t>20/05/2026</t>
        </is>
      </c>
      <c r="D304" s="6" t="inlineStr">
        <is>
          <t>MATERIAL PLADUR</t>
        </is>
      </c>
      <c r="E304" s="6" t="inlineStr">
        <is>
          <t>SAINT GOBAIN IDAPLAC SL</t>
        </is>
      </c>
      <c r="F304" s="6" t="inlineStr">
        <is>
          <t>IMPUTADO</t>
        </is>
      </c>
      <c r="G304" s="4" t="n">
        <v>170.23</v>
      </c>
    </row>
    <row r="305">
      <c r="A305" s="6" t="inlineStr">
        <is>
          <t>24016 - PLAZA CIRCULAR</t>
        </is>
      </c>
      <c r="B305" s="6" t="inlineStr">
        <is>
          <t>1.606,00</t>
        </is>
      </c>
      <c r="C305" s="6" t="inlineStr">
        <is>
          <t>11/05/2026</t>
        </is>
      </c>
      <c r="D305" s="6" t="inlineStr">
        <is>
          <t>PLADUR</t>
        </is>
      </c>
      <c r="E305" s="6" t="inlineStr">
        <is>
          <t>LEROY MERLIN ESPAÑA SL</t>
        </is>
      </c>
      <c r="F305" s="6" t="inlineStr">
        <is>
          <t>IMPUTADO</t>
        </is>
      </c>
      <c r="G305" s="4" t="n">
        <v>148.03</v>
      </c>
    </row>
    <row r="306">
      <c r="A306" s="6" t="inlineStr">
        <is>
          <t>24016 - PLAZA CIRCULAR</t>
        </is>
      </c>
      <c r="B306" s="6" t="inlineStr">
        <is>
          <t>1.878,00</t>
        </is>
      </c>
      <c r="C306" s="6" t="inlineStr">
        <is>
          <t>31/07/2026</t>
        </is>
      </c>
      <c r="D306" s="6" t="inlineStr">
        <is>
          <t>CONTENEDORES</t>
        </is>
      </c>
      <c r="E306" s="6" t="inlineStr">
        <is>
          <t>CONTENEDORES REUNIDOS SL</t>
        </is>
      </c>
      <c r="F306" s="6" t="inlineStr">
        <is>
          <t>IMPUTADO</t>
        </is>
      </c>
      <c r="G306" s="4" t="n">
        <v>145</v>
      </c>
    </row>
    <row r="307">
      <c r="A307" s="6" t="inlineStr">
        <is>
          <t>24016 - PLAZA CIRCULAR</t>
        </is>
      </c>
      <c r="B307" s="6" t="inlineStr">
        <is>
          <t>1.562,00</t>
        </is>
      </c>
      <c r="C307" s="6" t="inlineStr">
        <is>
          <t>30/04/2026</t>
        </is>
      </c>
      <c r="D307" s="6" t="inlineStr">
        <is>
          <t>CONTENEDORES</t>
        </is>
      </c>
      <c r="E307" s="6" t="inlineStr">
        <is>
          <t>CONTENEDORES REUNIDOS SL</t>
        </is>
      </c>
      <c r="F307" s="6" t="inlineStr">
        <is>
          <t>IMPUTADO</t>
        </is>
      </c>
      <c r="G307" s="4" t="n">
        <v>145</v>
      </c>
    </row>
    <row r="308">
      <c r="A308" s="6" t="inlineStr">
        <is>
          <t>24016 - PLAZA CIRCULAR</t>
        </is>
      </c>
      <c r="B308" s="6" t="inlineStr">
        <is>
          <t>1.250,00</t>
        </is>
      </c>
      <c r="C308" s="6" t="inlineStr">
        <is>
          <t>31/03/2026</t>
        </is>
      </c>
      <c r="D308" s="6" t="inlineStr">
        <is>
          <t>CONTENEDOR #derrbio tabiqueria interior, piso, baños y galeria</t>
        </is>
      </c>
      <c r="E308" s="6" t="inlineStr">
        <is>
          <t>CONTENEDORES REUNIDOS SL</t>
        </is>
      </c>
      <c r="F308" s="6" t="inlineStr">
        <is>
          <t>IMPUTADO</t>
        </is>
      </c>
      <c r="G308" s="4" t="n">
        <v>145</v>
      </c>
    </row>
    <row r="309">
      <c r="A309" s="6" t="inlineStr">
        <is>
          <t>24016 - PLAZA CIRCULAR</t>
        </is>
      </c>
      <c r="B309" s="6" t="inlineStr">
        <is>
          <t>1.653,00</t>
        </is>
      </c>
      <c r="C309" s="6" t="inlineStr">
        <is>
          <t>31/05/2026</t>
        </is>
      </c>
      <c r="D309" s="6" t="inlineStr">
        <is>
          <t>MATERIAL PLADUR</t>
        </is>
      </c>
      <c r="E309" s="6" t="inlineStr">
        <is>
          <t>SUMINISTROS INDUSTRIALES FARELL SA</t>
        </is>
      </c>
      <c r="F309" s="6" t="inlineStr">
        <is>
          <t>IMPUTADO</t>
        </is>
      </c>
      <c r="G309" s="4" t="n">
        <v>124.62</v>
      </c>
    </row>
    <row r="310">
      <c r="A310" s="6" t="inlineStr">
        <is>
          <t>24016 - PLAZA CIRCULAR</t>
        </is>
      </c>
      <c r="B310" s="6" t="inlineStr">
        <is>
          <t>1.690,00</t>
        </is>
      </c>
      <c r="C310" s="6" t="inlineStr">
        <is>
          <t>27/05/2026</t>
        </is>
      </c>
      <c r="D310" s="6" t="inlineStr">
        <is>
          <t>PLADUR</t>
        </is>
      </c>
      <c r="E310" s="6" t="inlineStr">
        <is>
          <t>BRICOLAJE BRICOMAN SLU</t>
        </is>
      </c>
      <c r="F310" s="6" t="inlineStr">
        <is>
          <t>IMPUTADO</t>
        </is>
      </c>
      <c r="G310" s="4" t="n">
        <v>93.95999999999999</v>
      </c>
    </row>
    <row r="311">
      <c r="A311" s="6" t="inlineStr">
        <is>
          <t>24016 - PLAZA CIRCULAR</t>
        </is>
      </c>
      <c r="B311" s="6" t="inlineStr">
        <is>
          <t>1.584,00</t>
        </is>
      </c>
      <c r="C311" s="6" t="inlineStr">
        <is>
          <t>04/05/2026</t>
        </is>
      </c>
      <c r="D311" s="6" t="inlineStr">
        <is>
          <t>ESTRUCTURA PLADUR</t>
        </is>
      </c>
      <c r="E311" s="6" t="inlineStr">
        <is>
          <t>BRICOLAJE BRICOMAN SLU</t>
        </is>
      </c>
      <c r="F311" s="6" t="inlineStr">
        <is>
          <t>IMPUTADO</t>
        </is>
      </c>
      <c r="G311" s="4" t="n">
        <v>90.25</v>
      </c>
    </row>
    <row r="312">
      <c r="A312" s="6" t="inlineStr">
        <is>
          <t>24016 - PLAZA CIRCULAR</t>
        </is>
      </c>
      <c r="B312" s="6" t="inlineStr">
        <is>
          <t>1.712,00</t>
        </is>
      </c>
      <c r="C312" s="6" t="inlineStr">
        <is>
          <t>13/06/2026</t>
        </is>
      </c>
      <c r="D312" s="6" t="inlineStr">
        <is>
          <t>PLADUR</t>
        </is>
      </c>
      <c r="E312" s="6" t="inlineStr">
        <is>
          <t>HIJOS DE JOSE BUSQUIER SL</t>
        </is>
      </c>
      <c r="F312" s="6" t="inlineStr">
        <is>
          <t>IMPUTADO</t>
        </is>
      </c>
      <c r="G312" s="4" t="n">
        <v>47.22</v>
      </c>
    </row>
    <row r="313">
      <c r="A313" s="6" t="inlineStr">
        <is>
          <t>24016 - PLAZA CIRCULAR</t>
        </is>
      </c>
      <c r="B313" s="6" t="inlineStr">
        <is>
          <t>1.672,00</t>
        </is>
      </c>
      <c r="C313" s="6" t="inlineStr">
        <is>
          <t>04/06/2026</t>
        </is>
      </c>
      <c r="D313" s="6" t="inlineStr">
        <is>
          <t>MATERIAL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47.11</v>
      </c>
    </row>
    <row r="314">
      <c r="A314" s="6" t="inlineStr">
        <is>
          <t>24016 - PLAZA CIRCULAR</t>
        </is>
      </c>
      <c r="B314" s="6" t="inlineStr">
        <is>
          <t>1.743,00</t>
        </is>
      </c>
      <c r="C314" s="6" t="inlineStr">
        <is>
          <t>17/06/2026</t>
        </is>
      </c>
      <c r="D314" s="6" t="inlineStr">
        <is>
          <t>VARIOS</t>
        </is>
      </c>
      <c r="E314" s="6" t="inlineStr">
        <is>
          <t>ROSALIA MARTINEZ RUIZ</t>
        </is>
      </c>
      <c r="F314" s="6" t="inlineStr">
        <is>
          <t>IMPUTADO</t>
        </is>
      </c>
      <c r="G314" s="4" t="n">
        <v>41.84</v>
      </c>
    </row>
    <row r="315">
      <c r="A315" s="6" t="inlineStr">
        <is>
          <t>24016 - PLAZA CIRCULAR</t>
        </is>
      </c>
      <c r="B315" s="6" t="inlineStr">
        <is>
          <t>1.504,00</t>
        </is>
      </c>
      <c r="C315" s="6" t="inlineStr">
        <is>
          <t>16/04/2026</t>
        </is>
      </c>
      <c r="D315" s="6" t="inlineStr">
        <is>
          <t>PLADUR</t>
        </is>
      </c>
      <c r="E315" s="6" t="inlineStr">
        <is>
          <t>MATERIALES DE CONSTRUCCION EL CARACOLES SL</t>
        </is>
      </c>
      <c r="F315" s="6" t="inlineStr">
        <is>
          <t>IMPUTADO</t>
        </is>
      </c>
      <c r="G315" s="4" t="n">
        <v>41.46</v>
      </c>
    </row>
    <row r="316">
      <c r="A316" s="6" t="inlineStr">
        <is>
          <t>24016 - PLAZA CIRCULAR</t>
        </is>
      </c>
      <c r="B316" s="6" t="inlineStr">
        <is>
          <t>1.760,00</t>
        </is>
      </c>
      <c r="C316" s="6" t="inlineStr">
        <is>
          <t>29/06/2026</t>
        </is>
      </c>
      <c r="D316" s="6" t="inlineStr">
        <is>
          <t>MATERIAL</t>
        </is>
      </c>
      <c r="E316" s="6" t="inlineStr">
        <is>
          <t>BRICOLAJE BRICOMAN SLU</t>
        </is>
      </c>
      <c r="F316" s="6" t="inlineStr">
        <is>
          <t>IMPUTADO</t>
        </is>
      </c>
      <c r="G316" s="4" t="n">
        <v>40.79</v>
      </c>
    </row>
    <row r="317">
      <c r="A317" s="6" t="inlineStr">
        <is>
          <t>24016 - PLAZA CIRCULAR</t>
        </is>
      </c>
      <c r="B317" s="6" t="inlineStr">
        <is>
          <t>1.714,00</t>
        </is>
      </c>
      <c r="C317" s="6" t="inlineStr">
        <is>
          <t>12/06/2026</t>
        </is>
      </c>
      <c r="D317" s="6" t="inlineStr">
        <is>
          <t>PLADUR</t>
        </is>
      </c>
      <c r="E317" s="6" t="inlineStr">
        <is>
          <t>LEROY MERLIN ESPAÑA SL</t>
        </is>
      </c>
      <c r="F317" s="6" t="inlineStr">
        <is>
          <t>IMPUTADO</t>
        </is>
      </c>
      <c r="G317" s="4" t="n">
        <v>37.11</v>
      </c>
    </row>
    <row r="318">
      <c r="A318" s="6" t="inlineStr">
        <is>
          <t>24016 - PLAZA CIRCULAR</t>
        </is>
      </c>
      <c r="B318" s="6" t="inlineStr">
        <is>
          <t>1.663,00</t>
        </is>
      </c>
      <c r="C318" s="6" t="inlineStr">
        <is>
          <t>02/06/2026</t>
        </is>
      </c>
      <c r="D318" s="6" t="inlineStr">
        <is>
          <t>PINTURA #arreglo piso inferior</t>
        </is>
      </c>
      <c r="E318" s="6" t="inlineStr">
        <is>
          <t>SANZ BUILDING 2000 SL</t>
        </is>
      </c>
      <c r="F318" s="6" t="inlineStr">
        <is>
          <t>IMPUTADO</t>
        </is>
      </c>
      <c r="G318" s="4" t="n">
        <v>33.71</v>
      </c>
    </row>
    <row r="319">
      <c r="A319" s="6" t="inlineStr">
        <is>
          <t>24016 - PLAZA CIRCULAR</t>
        </is>
      </c>
      <c r="B319" s="6" t="inlineStr">
        <is>
          <t>1.527,00</t>
        </is>
      </c>
      <c r="C319" s="6" t="inlineStr">
        <is>
          <t>27/04/2026</t>
        </is>
      </c>
      <c r="D319" s="6" t="inlineStr">
        <is>
          <t>ESPUMA POLIURETANO / TEJAS</t>
        </is>
      </c>
      <c r="E319" s="6" t="inlineStr">
        <is>
          <t>LEROY MERLIN ESPAÑA SL</t>
        </is>
      </c>
      <c r="F319" s="6" t="inlineStr">
        <is>
          <t>IMPUTADO</t>
        </is>
      </c>
      <c r="G319" s="4" t="n">
        <v>33.06</v>
      </c>
    </row>
    <row r="320">
      <c r="A320" s="6" t="inlineStr">
        <is>
          <t>24016 - PLAZA CIRCULAR</t>
        </is>
      </c>
      <c r="B320" s="6" t="inlineStr">
        <is>
          <t>1.695,00</t>
        </is>
      </c>
      <c r="C320" s="6" t="inlineStr">
        <is>
          <t>22/05/2026</t>
        </is>
      </c>
      <c r="D320" s="6" t="inlineStr">
        <is>
          <t>PLADUR</t>
        </is>
      </c>
      <c r="E320" s="6" t="inlineStr">
        <is>
          <t>LEROY MERLIN ESPAÑA SL</t>
        </is>
      </c>
      <c r="F320" s="6" t="inlineStr">
        <is>
          <t>IMPUTADO</t>
        </is>
      </c>
      <c r="G320" s="4" t="n">
        <v>32.33</v>
      </c>
    </row>
    <row r="321">
      <c r="A321" s="6" t="inlineStr">
        <is>
          <t>24016 - PLAZA CIRCULAR</t>
        </is>
      </c>
      <c r="B321" s="6" t="inlineStr">
        <is>
          <t>1.798,00</t>
        </is>
      </c>
      <c r="C321" s="6" t="inlineStr">
        <is>
          <t>02/07/2026</t>
        </is>
      </c>
      <c r="D321" s="6" t="inlineStr">
        <is>
          <t>PUNTAS PLADUR</t>
        </is>
      </c>
      <c r="E321" s="6" t="inlineStr">
        <is>
          <t>WURTH ESPAÑA SA</t>
        </is>
      </c>
      <c r="F321" s="6" t="inlineStr">
        <is>
          <t>IMPUTADO</t>
        </is>
      </c>
      <c r="G321" s="4" t="n">
        <v>32.3</v>
      </c>
    </row>
    <row r="322">
      <c r="A322" s="6" t="inlineStr">
        <is>
          <t>24016 - PLAZA CIRCULAR</t>
        </is>
      </c>
      <c r="B322" s="6" t="inlineStr">
        <is>
          <t>1.757,00</t>
        </is>
      </c>
      <c r="C322" s="6" t="inlineStr">
        <is>
          <t>23/06/2026</t>
        </is>
      </c>
      <c r="D322" s="6" t="inlineStr">
        <is>
          <t>PLADUR TECHOS</t>
        </is>
      </c>
      <c r="E322" s="6" t="inlineStr">
        <is>
          <t>ROSALIA MARTINEZ RUIZ</t>
        </is>
      </c>
      <c r="F322" s="6" t="inlineStr">
        <is>
          <t>IMPUTADO</t>
        </is>
      </c>
      <c r="G322" s="4" t="n">
        <v>31.4</v>
      </c>
    </row>
    <row r="323">
      <c r="A323" s="6" t="inlineStr">
        <is>
          <t>24016 - PLAZA CIRCULAR</t>
        </is>
      </c>
      <c r="B323" s="6" t="inlineStr">
        <is>
          <t>1.529,00</t>
        </is>
      </c>
      <c r="C323" s="6" t="inlineStr">
        <is>
          <t>22/04/2026</t>
        </is>
      </c>
      <c r="D323" s="6" t="inlineStr">
        <is>
          <t>MATERIAL</t>
        </is>
      </c>
      <c r="E323" s="6" t="inlineStr">
        <is>
          <t>LEROY MERLIN ESPAÑA SL</t>
        </is>
      </c>
      <c r="F323" s="6" t="inlineStr">
        <is>
          <t>IMPUTADO</t>
        </is>
      </c>
      <c r="G323" s="4" t="n">
        <v>29.24</v>
      </c>
    </row>
    <row r="324">
      <c r="A324" s="6" t="inlineStr">
        <is>
          <t>24016 - PLAZA CIRCULAR</t>
        </is>
      </c>
      <c r="B324" s="6" t="inlineStr">
        <is>
          <t>1.725,00</t>
        </is>
      </c>
      <c r="C324" s="6" t="inlineStr">
        <is>
          <t>08/05/2026</t>
        </is>
      </c>
      <c r="D324" s="6" t="inlineStr">
        <is>
          <t>PINTURA</t>
        </is>
      </c>
      <c r="E324" s="6" t="inlineStr">
        <is>
          <t>DECOBRIC SANZ SL</t>
        </is>
      </c>
      <c r="F324" s="6" t="inlineStr">
        <is>
          <t>IMPUTADO</t>
        </is>
      </c>
      <c r="G324" s="4" t="n">
        <v>28.3</v>
      </c>
    </row>
    <row r="325">
      <c r="A325" s="6" t="inlineStr">
        <is>
          <t>24016 - PLAZA CIRCULAR</t>
        </is>
      </c>
      <c r="B325" s="6" t="inlineStr">
        <is>
          <t>1.680,00</t>
        </is>
      </c>
      <c r="C325" s="6" t="inlineStr">
        <is>
          <t>01/06/2026</t>
        </is>
      </c>
      <c r="D325" s="6" t="inlineStr">
        <is>
          <t>PLADUR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27.67</v>
      </c>
    </row>
    <row r="326">
      <c r="A326" s="6" t="inlineStr">
        <is>
          <t>24016 - PLAZA CIRCULAR</t>
        </is>
      </c>
      <c r="B326" s="6" t="inlineStr">
        <is>
          <t>1.915,00</t>
        </is>
      </c>
      <c r="C326" s="6" t="inlineStr">
        <is>
          <t>31/08/2026</t>
        </is>
      </c>
      <c r="D326" s="6" t="inlineStr">
        <is>
          <t>MUESTRAS PINTURA</t>
        </is>
      </c>
      <c r="E326" s="6" t="inlineStr">
        <is>
          <t>SANZ BUILDING 2000 SL</t>
        </is>
      </c>
      <c r="F326" s="6" t="inlineStr">
        <is>
          <t>IMPUTADO</t>
        </is>
      </c>
      <c r="G326" s="4" t="n">
        <v>26.35</v>
      </c>
    </row>
    <row r="327">
      <c r="A327" s="6" t="inlineStr">
        <is>
          <t>24016 - PLAZA CIRCULAR</t>
        </is>
      </c>
      <c r="B327" s="6" t="inlineStr">
        <is>
          <t>1.581,00</t>
        </is>
      </c>
      <c r="C327" s="6" t="inlineStr">
        <is>
          <t>07/05/2026</t>
        </is>
      </c>
      <c r="D327" s="6" t="inlineStr">
        <is>
          <t>PLADUR</t>
        </is>
      </c>
      <c r="E327" s="6" t="inlineStr">
        <is>
          <t>LEROY MERLIN ESPAÑA SL</t>
        </is>
      </c>
      <c r="F327" s="6" t="inlineStr">
        <is>
          <t>IMPUTADO</t>
        </is>
      </c>
      <c r="G327" s="4" t="n">
        <v>21.74</v>
      </c>
    </row>
    <row r="328">
      <c r="A328" s="6" t="inlineStr">
        <is>
          <t>24016 - PLAZA CIRCULAR</t>
        </is>
      </c>
      <c r="B328" s="6" t="inlineStr">
        <is>
          <t>1.531,00</t>
        </is>
      </c>
      <c r="C328" s="6" t="inlineStr">
        <is>
          <t>20/04/2026</t>
        </is>
      </c>
      <c r="D328" s="6" t="inlineStr">
        <is>
          <t>TORNILLO AUTOROSCA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16.5</v>
      </c>
    </row>
    <row r="329">
      <c r="A329" s="6" t="inlineStr">
        <is>
          <t>24016 - PLAZA CIRCULAR</t>
        </is>
      </c>
      <c r="B329" s="6" t="inlineStr">
        <is>
          <t>1.736,00</t>
        </is>
      </c>
      <c r="C329" s="6" t="inlineStr">
        <is>
          <t>19/05/2026</t>
        </is>
      </c>
      <c r="D329" s="6" t="inlineStr">
        <is>
          <t>PLADUR Y AYUDAS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9.66</v>
      </c>
    </row>
    <row r="330">
      <c r="A330" s="6" t="inlineStr">
        <is>
          <t>24016 - PLAZA CIRCULAR</t>
        </is>
      </c>
      <c r="B330" s="6" t="inlineStr">
        <is>
          <t>1.526,00</t>
        </is>
      </c>
      <c r="C330" s="6" t="inlineStr">
        <is>
          <t>28/04/2026</t>
        </is>
      </c>
      <c r="D330" s="6" t="inlineStr">
        <is>
          <t>SACO ARENA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8.83</v>
      </c>
    </row>
    <row r="331">
      <c r="A331" s="6" t="inlineStr">
        <is>
          <t>24016 - PLAZA CIRCULAR</t>
        </is>
      </c>
      <c r="B331" s="6" t="inlineStr">
        <is>
          <t>1.696,00</t>
        </is>
      </c>
      <c r="C331" s="6" t="inlineStr">
        <is>
          <t>20/05/2026</t>
        </is>
      </c>
      <c r="D331" s="6" t="inlineStr">
        <is>
          <t>PLADUR</t>
        </is>
      </c>
      <c r="E331" s="6" t="inlineStr">
        <is>
          <t>SAINT GOBAIN IDAPLAC SL</t>
        </is>
      </c>
      <c r="F331" s="6" t="inlineStr">
        <is>
          <t>IMPUTADO</t>
        </is>
      </c>
      <c r="G331" s="4" t="n">
        <v>8.19</v>
      </c>
    </row>
    <row r="332">
      <c r="A332" s="6" t="inlineStr">
        <is>
          <t>24017 - CEMENTERIO, MURCIA</t>
        </is>
      </c>
      <c r="B332" s="6" t="inlineStr">
        <is>
          <t>1.595,00</t>
        </is>
      </c>
      <c r="C332" s="6" t="inlineStr">
        <is>
          <t>19/05/2026</t>
        </is>
      </c>
      <c r="D332" s="6" t="inlineStr">
        <is>
          <t>PUERTA ALUMINIO/FIJO ALUMNIO/INSTALACIÓN</t>
        </is>
      </c>
      <c r="E332" s="6" t="inlineStr">
        <is>
          <t>ALEJANDRO CUTILLAS CAÑABATE</t>
        </is>
      </c>
      <c r="F332" s="6" t="inlineStr">
        <is>
          <t>IMPUTADO</t>
        </is>
      </c>
      <c r="G332" s="4" t="n">
        <v>2797.7</v>
      </c>
    </row>
    <row r="333">
      <c r="A333" s="6" t="inlineStr">
        <is>
          <t>24017 - CEMENTERIO, MURCIA</t>
        </is>
      </c>
      <c r="B333" s="6" t="inlineStr">
        <is>
          <t>859</t>
        </is>
      </c>
      <c r="C333" s="6" t="inlineStr">
        <is>
          <t>23/02/2026</t>
        </is>
      </c>
      <c r="D333" s="6" t="inlineStr">
        <is>
          <t>HIERRO PANTEON #ACERO</t>
        </is>
      </c>
      <c r="E333" s="6" t="inlineStr">
        <is>
          <t>ALEJANDRO CUTILLAS CAÑABATE</t>
        </is>
      </c>
      <c r="F333" s="6" t="inlineStr">
        <is>
          <t>IMPUTADO</t>
        </is>
      </c>
      <c r="G333" s="4" t="n">
        <v>1779.6</v>
      </c>
    </row>
    <row r="334">
      <c r="A334" s="6" t="inlineStr">
        <is>
          <t>24017 - CEMENTERIO, MURCIA</t>
        </is>
      </c>
      <c r="B334" s="6" t="inlineStr">
        <is>
          <t>538</t>
        </is>
      </c>
      <c r="C334" s="6" t="inlineStr">
        <is>
          <t>09/01/2026</t>
        </is>
      </c>
      <c r="D334" s="6" t="inlineStr">
        <is>
          <t>RECERCADO DE PLETINA</t>
        </is>
      </c>
      <c r="E334" s="6" t="inlineStr">
        <is>
          <t>ALEJANDRO CUTILLAS CAÑABATE</t>
        </is>
      </c>
      <c r="F334" s="6" t="inlineStr">
        <is>
          <t>IMPUTADO</t>
        </is>
      </c>
      <c r="G334" s="4" t="n">
        <v>599.95</v>
      </c>
    </row>
    <row r="335">
      <c r="A335" s="6" t="inlineStr">
        <is>
          <t>24017 - CEMENTERIO, MURCIA</t>
        </is>
      </c>
      <c r="B335" s="6" t="inlineStr">
        <is>
          <t>622</t>
        </is>
      </c>
      <c r="C335" s="6" t="inlineStr">
        <is>
          <t>31/01/2026</t>
        </is>
      </c>
      <c r="D335" s="6" t="inlineStr">
        <is>
          <t>GRUA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510</v>
      </c>
    </row>
    <row r="336">
      <c r="A336" s="6" t="inlineStr">
        <is>
          <t>24017 - CEMENTERIO, MURCIA</t>
        </is>
      </c>
      <c r="B336" s="6" t="inlineStr">
        <is>
          <t>883</t>
        </is>
      </c>
      <c r="C336" s="6" t="inlineStr">
        <is>
          <t>27/02/2026</t>
        </is>
      </c>
      <c r="D336" s="6" t="inlineStr">
        <is>
          <t>HIERRO CIMENTACION #Albañileria/cimentacion/patio</t>
        </is>
      </c>
      <c r="E336" s="6" t="inlineStr">
        <is>
          <t>FERRALLAS MONFORTE DEL CID SL.</t>
        </is>
      </c>
      <c r="F336" s="6" t="inlineStr">
        <is>
          <t>IMPUTADO</t>
        </is>
      </c>
      <c r="G336" s="4" t="n">
        <v>501.2</v>
      </c>
    </row>
    <row r="337">
      <c r="A337" s="6" t="inlineStr">
        <is>
          <t>24017 - CEMENTERIO, MURCIA</t>
        </is>
      </c>
      <c r="B337" s="6" t="inlineStr">
        <is>
          <t>623</t>
        </is>
      </c>
      <c r="C337" s="6" t="inlineStr">
        <is>
          <t>31/01/2026</t>
        </is>
      </c>
      <c r="D337" s="6" t="inlineStr">
        <is>
          <t>GRUA</t>
        </is>
      </c>
      <c r="E337" s="6" t="inlineStr">
        <is>
          <t>GRUAS Y MAQUINARIA PETREL SL</t>
        </is>
      </c>
      <c r="F337" s="6" t="inlineStr">
        <is>
          <t>IMPUTADO</t>
        </is>
      </c>
      <c r="G337" s="4" t="n">
        <v>480</v>
      </c>
    </row>
    <row r="338">
      <c r="A338" s="6" t="inlineStr">
        <is>
          <t>24017 - CEMENTERIO, MURCIA</t>
        </is>
      </c>
      <c r="B338" s="6" t="inlineStr">
        <is>
          <t>823</t>
        </is>
      </c>
      <c r="C338" s="6" t="inlineStr">
        <is>
          <t>16/02/2026</t>
        </is>
      </c>
      <c r="D338" s="6" t="inlineStr">
        <is>
          <t>GRUA #Maquinaria</t>
        </is>
      </c>
      <c r="E338" s="6" t="inlineStr">
        <is>
          <t>GRUAS Y MAQUINARIA PETREL SL</t>
        </is>
      </c>
      <c r="F338" s="6" t="inlineStr">
        <is>
          <t>IMPUTADO</t>
        </is>
      </c>
      <c r="G338" s="4" t="n">
        <v>450</v>
      </c>
    </row>
    <row r="339">
      <c r="A339" s="6" t="inlineStr">
        <is>
          <t>24017 - CEMENTERIO, MURCIA</t>
        </is>
      </c>
      <c r="B339" s="6" t="inlineStr">
        <is>
          <t>813</t>
        </is>
      </c>
      <c r="C339" s="6" t="inlineStr">
        <is>
          <t>09/02/2026</t>
        </is>
      </c>
      <c r="D339" s="6" t="inlineStr">
        <is>
          <t>GRAVA / CEMENTO / G50 SMART FLEX #ALBAÑILERIA  - MATERIAL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150.35</v>
      </c>
    </row>
    <row r="340">
      <c r="A340" s="6" t="inlineStr">
        <is>
          <t>24017 - CEMENTERIO, MURCIA</t>
        </is>
      </c>
      <c r="B340" s="6" t="inlineStr">
        <is>
          <t>889</t>
        </is>
      </c>
      <c r="C340" s="6" t="inlineStr">
        <is>
          <t>18/02/2026</t>
        </is>
      </c>
      <c r="D340" s="6" t="inlineStr">
        <is>
          <t>MATERIAL OBRA #Albañileria/Material</t>
        </is>
      </c>
      <c r="E340" s="6" t="inlineStr">
        <is>
          <t>IBIMAT IBI SL</t>
        </is>
      </c>
      <c r="F340" s="6" t="inlineStr">
        <is>
          <t>IMPUTADO</t>
        </is>
      </c>
      <c r="G340" s="4" t="n">
        <v>88.59</v>
      </c>
    </row>
    <row r="341">
      <c r="A341" s="6" t="inlineStr">
        <is>
          <t>24017 - CEMENTERIO, MURCIA</t>
        </is>
      </c>
      <c r="B341" s="6" t="inlineStr">
        <is>
          <t>1.136,00</t>
        </is>
      </c>
      <c r="C341" s="6" t="inlineStr">
        <is>
          <t>09/03/2026</t>
        </is>
      </c>
      <c r="D341" s="6" t="inlineStr">
        <is>
          <t>SUELO PVC PANTEÓN</t>
        </is>
      </c>
      <c r="E341" s="6" t="inlineStr">
        <is>
          <t>LEROY MERLIN ESPAÑA SL</t>
        </is>
      </c>
      <c r="F341" s="6" t="inlineStr">
        <is>
          <t>IMPUTADO</t>
        </is>
      </c>
      <c r="G341" s="4" t="n">
        <v>63.7</v>
      </c>
    </row>
    <row r="342">
      <c r="A342" s="6" t="inlineStr">
        <is>
          <t>24017 - CEMENTERIO, MURCIA</t>
        </is>
      </c>
      <c r="B342" s="6" t="inlineStr">
        <is>
          <t>791</t>
        </is>
      </c>
      <c r="C342" s="6" t="inlineStr">
        <is>
          <t>09/02/2026</t>
        </is>
      </c>
      <c r="D342" s="6" t="inlineStr">
        <is>
          <t>TUBO PVC DESAGÜES #ALBAÑILERIA -  MATERIAL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44.5</v>
      </c>
    </row>
    <row r="343">
      <c r="A343" s="6" t="inlineStr">
        <is>
          <t>24017 - CEMENTERIO, MURCIA</t>
        </is>
      </c>
      <c r="B343" s="6" t="inlineStr">
        <is>
          <t>1.795,00</t>
        </is>
      </c>
      <c r="C343" s="6" t="inlineStr">
        <is>
          <t>06/07/2026</t>
        </is>
      </c>
      <c r="D343" s="6" t="inlineStr">
        <is>
          <t>PINTURA PANTEON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40.36</v>
      </c>
    </row>
    <row r="344">
      <c r="A344" s="6" t="inlineStr">
        <is>
          <t>24017 - CEMENTERIO, MURCIA</t>
        </is>
      </c>
      <c r="B344" s="6" t="inlineStr">
        <is>
          <t>1.772,00</t>
        </is>
      </c>
      <c r="C344" s="6" t="inlineStr">
        <is>
          <t>25/06/2026</t>
        </is>
      </c>
      <c r="D344" s="6" t="inlineStr">
        <is>
          <t>ESMALTE Y CUBETA</t>
        </is>
      </c>
      <c r="E344" s="6" t="inlineStr">
        <is>
          <t>PINTURAS IDELLA SL.</t>
        </is>
      </c>
      <c r="F344" s="6" t="inlineStr">
        <is>
          <t>IMPUTADO</t>
        </is>
      </c>
      <c r="G344" s="4" t="n">
        <v>35.05</v>
      </c>
    </row>
    <row r="345">
      <c r="A345" s="6" t="inlineStr">
        <is>
          <t>24017 - CEMENTERIO, MURCIA</t>
        </is>
      </c>
      <c r="B345" s="6" t="inlineStr">
        <is>
          <t>1.137,00</t>
        </is>
      </c>
      <c r="C345" s="6" t="inlineStr">
        <is>
          <t>09/03/2026</t>
        </is>
      </c>
      <c r="D345" s="6" t="inlineStr">
        <is>
          <t>SUELO PVC PANTEON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19.65</v>
      </c>
    </row>
    <row r="346">
      <c r="A346" s="6" t="inlineStr">
        <is>
          <t>24017 - CEMENTERIO, MURCIA</t>
        </is>
      </c>
      <c r="B346" s="6" t="inlineStr">
        <is>
          <t>1.796,00</t>
        </is>
      </c>
      <c r="C346" s="6" t="inlineStr">
        <is>
          <t>06/07/2026</t>
        </is>
      </c>
      <c r="D346" s="6" t="inlineStr">
        <is>
          <t>MASILLA PANTEON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14.3</v>
      </c>
    </row>
    <row r="347">
      <c r="A347" s="6" t="inlineStr">
        <is>
          <t>24017 - CEMENTERIO, MURCIA</t>
        </is>
      </c>
      <c r="B347" s="6" t="inlineStr">
        <is>
          <t>811</t>
        </is>
      </c>
      <c r="C347" s="6" t="inlineStr">
        <is>
          <t>12/02/2026</t>
        </is>
      </c>
      <c r="D347" s="6" t="inlineStr">
        <is>
          <t>GASOLINA</t>
        </is>
      </c>
      <c r="E347" s="6" t="inlineStr">
        <is>
          <t>ESTACION OMEGA ESPINARDO SL</t>
        </is>
      </c>
      <c r="F347" s="6" t="inlineStr">
        <is>
          <t>IMPUTADO</t>
        </is>
      </c>
      <c r="G347" s="4" t="n">
        <v>10.75</v>
      </c>
    </row>
    <row r="348">
      <c r="A348" s="6" t="inlineStr">
        <is>
          <t>24018 - OBRA LUC2</t>
        </is>
      </c>
      <c r="B348" s="6" t="inlineStr">
        <is>
          <t>1.100,00</t>
        </is>
      </c>
      <c r="C348" s="6" t="inlineStr">
        <is>
          <t>06/03/2026</t>
        </is>
      </c>
      <c r="D348" s="6" t="inlineStr">
        <is>
          <t>HIERRO CIMENTACIÓN Y FORJADO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4086.16</v>
      </c>
    </row>
    <row r="349">
      <c r="A349" s="6" t="inlineStr">
        <is>
          <t>24018 - OBRA LUC2</t>
        </is>
      </c>
      <c r="B349" s="6" t="inlineStr">
        <is>
          <t>862</t>
        </is>
      </c>
      <c r="C349" s="6" t="inlineStr">
        <is>
          <t>20/02/2026</t>
        </is>
      </c>
      <c r="D349" s="6" t="inlineStr">
        <is>
          <t>EXCAVACIÓN CIMENTACIÓN</t>
        </is>
      </c>
      <c r="E349" s="6" t="inlineStr">
        <is>
          <t>TREXGRUCO SL.</t>
        </is>
      </c>
      <c r="F349" s="6" t="inlineStr">
        <is>
          <t>IMPUTADO</t>
        </is>
      </c>
      <c r="G349" s="4" t="n">
        <v>3947.76</v>
      </c>
    </row>
    <row r="350">
      <c r="A350" s="6" t="inlineStr">
        <is>
          <t>24018 - OBRA LUC2</t>
        </is>
      </c>
      <c r="B350" s="6" t="inlineStr">
        <is>
          <t>1.242,00</t>
        </is>
      </c>
      <c r="C350" s="6" t="inlineStr">
        <is>
          <t>07/04/2026</t>
        </is>
      </c>
      <c r="D350" s="6" t="inlineStr">
        <is>
          <t>Presupuesto nº 614823</t>
        </is>
      </c>
      <c r="E350" s="6" t="inlineStr">
        <is>
          <t>LEROY MERLIN ESPAÑA SL</t>
        </is>
      </c>
      <c r="F350" s="6" t="inlineStr">
        <is>
          <t>IMPUTADO</t>
        </is>
      </c>
      <c r="G350" s="4" t="n">
        <v>2780.18</v>
      </c>
    </row>
    <row r="351">
      <c r="A351" s="6" t="inlineStr">
        <is>
          <t>24018 - OBRA LUC2</t>
        </is>
      </c>
      <c r="B351" s="6" t="inlineStr">
        <is>
          <t>1.113,00</t>
        </is>
      </c>
      <c r="C351" s="6" t="inlineStr">
        <is>
          <t>04/03/2026</t>
        </is>
      </c>
      <c r="D351" s="6" t="inlineStr">
        <is>
          <t>MATERIAL OBRA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2693.07</v>
      </c>
    </row>
    <row r="352">
      <c r="A352" s="6" t="inlineStr">
        <is>
          <t>24018 - OBRA LUC2</t>
        </is>
      </c>
      <c r="B352" s="6" t="inlineStr">
        <is>
          <t>1.151,00</t>
        </is>
      </c>
      <c r="C352" s="6" t="inlineStr">
        <is>
          <t>17/03/2026</t>
        </is>
      </c>
      <c r="D352" s="6" t="inlineStr">
        <is>
          <t>MATERIAL OBRA</t>
        </is>
      </c>
      <c r="E352" s="6" t="inlineStr">
        <is>
          <t>LEROY MERLIN ESPAÑA SL</t>
        </is>
      </c>
      <c r="F352" s="6" t="inlineStr">
        <is>
          <t>IMPUTADO</t>
        </is>
      </c>
      <c r="G352" s="4" t="n">
        <v>2656.74</v>
      </c>
    </row>
    <row r="353">
      <c r="A353" s="6" t="inlineStr">
        <is>
          <t>24018 - OBRA LUC2</t>
        </is>
      </c>
      <c r="B353" s="6" t="inlineStr">
        <is>
          <t>1.545,00</t>
        </is>
      </c>
      <c r="C353" s="6" t="inlineStr">
        <is>
          <t>30/04/2026</t>
        </is>
      </c>
      <c r="D353" s="6" t="inlineStr">
        <is>
          <t>HORMIGON</t>
        </is>
      </c>
      <c r="E353" s="6" t="inlineStr">
        <is>
          <t>CANTERAS Y RECICLADOS SL.</t>
        </is>
      </c>
      <c r="F353" s="6" t="inlineStr">
        <is>
          <t>IMPUTADO</t>
        </is>
      </c>
      <c r="G353" s="4" t="n">
        <v>2595</v>
      </c>
    </row>
    <row r="354">
      <c r="A354" s="6" t="inlineStr">
        <is>
          <t>24018 - OBRA LUC2</t>
        </is>
      </c>
      <c r="B354" s="6" t="inlineStr">
        <is>
          <t>1.278,00</t>
        </is>
      </c>
      <c r="C354" s="6" t="inlineStr">
        <is>
          <t>17/04/2026</t>
        </is>
      </c>
      <c r="D354" s="6" t="inlineStr">
        <is>
          <t>PRESUPUESTO 616670</t>
        </is>
      </c>
      <c r="E354" s="6" t="inlineStr">
        <is>
          <t>LEROY MERLIN ESPAÑA SL</t>
        </is>
      </c>
      <c r="F354" s="6" t="inlineStr">
        <is>
          <t>IMPUTADO</t>
        </is>
      </c>
      <c r="G354" s="4" t="n">
        <v>2499.9</v>
      </c>
    </row>
    <row r="355">
      <c r="A355" s="6" t="inlineStr">
        <is>
          <t>24018 - OBRA LUC2</t>
        </is>
      </c>
      <c r="B355" s="6" t="inlineStr">
        <is>
          <t>1.202,00</t>
        </is>
      </c>
      <c r="C355" s="6" t="inlineStr">
        <is>
          <t>31/03/2026</t>
        </is>
      </c>
      <c r="D355" s="6" t="inlineStr">
        <is>
          <t>HORMIGON LLENADO MUROS</t>
        </is>
      </c>
      <c r="E355" s="6" t="inlineStr">
        <is>
          <t>ARIDOS Y HORMIGONES CUTILLAS S.L.</t>
        </is>
      </c>
      <c r="F355" s="6" t="inlineStr">
        <is>
          <t>IMPUTADO</t>
        </is>
      </c>
      <c r="G355" s="4" t="n">
        <v>2256</v>
      </c>
    </row>
    <row r="356">
      <c r="A356" s="6" t="inlineStr">
        <is>
          <t>24018 - OBRA LUC2</t>
        </is>
      </c>
      <c r="B356" s="6" t="inlineStr">
        <is>
          <t>1.129,00</t>
        </is>
      </c>
      <c r="C356" s="6" t="inlineStr">
        <is>
          <t>15/03/2026</t>
        </is>
      </c>
      <c r="D356" s="6" t="inlineStr">
        <is>
          <t>HORMIGÓN CIMENTACIÓN</t>
        </is>
      </c>
      <c r="E356" s="6" t="inlineStr">
        <is>
          <t>ARIDOS Y HORMIGONES CUTILLAS S.L.</t>
        </is>
      </c>
      <c r="F356" s="6" t="inlineStr">
        <is>
          <t>IMPUTADO</t>
        </is>
      </c>
      <c r="G356" s="4" t="n">
        <v>1710</v>
      </c>
    </row>
    <row r="357">
      <c r="A357" s="6" t="inlineStr">
        <is>
          <t>24018 - OBRA LUC2</t>
        </is>
      </c>
      <c r="B357" s="6" t="inlineStr">
        <is>
          <t>891</t>
        </is>
      </c>
      <c r="C357" s="6" t="inlineStr">
        <is>
          <t>28/02/2026</t>
        </is>
      </c>
      <c r="D357" s="6" t="inlineStr">
        <is>
          <t>EXCAVACIÓN CIMENTACION</t>
        </is>
      </c>
      <c r="E357" s="6" t="inlineStr">
        <is>
          <t>TREXGRUCO SL.</t>
        </is>
      </c>
      <c r="F357" s="6" t="inlineStr">
        <is>
          <t>IMPUTADO</t>
        </is>
      </c>
      <c r="G357" s="4" t="n">
        <v>1624</v>
      </c>
    </row>
    <row r="358">
      <c r="A358" s="6" t="inlineStr">
        <is>
          <t>24018 - OBRA LUC2</t>
        </is>
      </c>
      <c r="B358" s="6" t="inlineStr">
        <is>
          <t>1.256,00</t>
        </is>
      </c>
      <c r="C358" s="6" t="inlineStr">
        <is>
          <t>15/04/2026</t>
        </is>
      </c>
      <c r="D358" s="6" t="inlineStr">
        <is>
          <t>LLENADO FORJADO #llenado forjado sotano</t>
        </is>
      </c>
      <c r="E358" s="6" t="inlineStr">
        <is>
          <t>ARIDOS Y HORMIGONES CUTILLAS S.L.</t>
        </is>
      </c>
      <c r="F358" s="6" t="inlineStr">
        <is>
          <t>IMPUTADO</t>
        </is>
      </c>
      <c r="G358" s="4" t="n">
        <v>1620</v>
      </c>
    </row>
    <row r="359">
      <c r="A359" s="6" t="inlineStr">
        <is>
          <t>24018 - OBRA LUC2</t>
        </is>
      </c>
      <c r="B359" s="6" t="inlineStr">
        <is>
          <t>1.525,00</t>
        </is>
      </c>
      <c r="C359" s="6" t="inlineStr">
        <is>
          <t>30/04/2026</t>
        </is>
      </c>
      <c r="D359" s="6" t="inlineStr">
        <is>
          <t>GRUA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1560</v>
      </c>
    </row>
    <row r="360">
      <c r="A360" s="6" t="inlineStr">
        <is>
          <t>24018 - OBRA LUC2</t>
        </is>
      </c>
      <c r="B360" s="6" t="inlineStr">
        <is>
          <t>1.164,00</t>
        </is>
      </c>
      <c r="C360" s="6" t="inlineStr">
        <is>
          <t>18/03/2026</t>
        </is>
      </c>
      <c r="D360" s="6" t="inlineStr">
        <is>
          <t>GRUA #montar ferralla y repartir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1470</v>
      </c>
    </row>
    <row r="361">
      <c r="A361" s="6" t="inlineStr">
        <is>
          <t>24018 - OBRA LUC2</t>
        </is>
      </c>
      <c r="B361" s="6" t="inlineStr">
        <is>
          <t>1.102,00</t>
        </is>
      </c>
      <c r="C361" s="6" t="inlineStr">
        <is>
          <t>28/02/2026</t>
        </is>
      </c>
      <c r="D361" s="6" t="inlineStr">
        <is>
          <t>ALQUILER DUMPER CIMENTACION</t>
        </is>
      </c>
      <c r="E361" s="6" t="inlineStr">
        <is>
          <t>CHOOSEMAK SOCIEDAD DE RESPONSABILIDAD LIMITADA</t>
        </is>
      </c>
      <c r="F361" s="6" t="inlineStr">
        <is>
          <t>IMPUTADO</t>
        </is>
      </c>
      <c r="G361" s="4" t="n">
        <v>1254.74</v>
      </c>
    </row>
    <row r="362">
      <c r="A362" s="6" t="inlineStr">
        <is>
          <t>24018 - OBRA LUC2</t>
        </is>
      </c>
      <c r="B362" s="6" t="inlineStr">
        <is>
          <t>1.272,00</t>
        </is>
      </c>
      <c r="C362" s="6" t="inlineStr">
        <is>
          <t>07/04/2026</t>
        </is>
      </c>
      <c r="D362" s="6" t="inlineStr">
        <is>
          <t>GRUA #grua</t>
        </is>
      </c>
      <c r="E362" s="6" t="inlineStr">
        <is>
          <t>GRUAS Y TRANSPORTES ESPECIALES EL ALICANTI SL.</t>
        </is>
      </c>
      <c r="F362" s="6" t="inlineStr">
        <is>
          <t>IMPUTADO</t>
        </is>
      </c>
      <c r="G362" s="4" t="n">
        <v>1170</v>
      </c>
    </row>
    <row r="363">
      <c r="A363" s="6" t="inlineStr">
        <is>
          <t>24018 - OBRA LUC2</t>
        </is>
      </c>
      <c r="B363" s="6" t="inlineStr">
        <is>
          <t>1.664,00</t>
        </is>
      </c>
      <c r="C363" s="6" t="inlineStr">
        <is>
          <t>06/04/2026</t>
        </is>
      </c>
      <c r="D363" s="6" t="inlineStr">
        <is>
          <t>BOMBA LORENZO</t>
        </is>
      </c>
      <c r="E363" s="6" t="inlineStr">
        <is>
          <t>LORENZO ROMERO MORALEDA</t>
        </is>
      </c>
      <c r="F363" s="6" t="inlineStr">
        <is>
          <t>IMPUTADO</t>
        </is>
      </c>
      <c r="G363" s="4" t="n">
        <v>1000</v>
      </c>
    </row>
    <row r="364">
      <c r="A364" s="6" t="inlineStr">
        <is>
          <t>24018 - OBRA LUC2</t>
        </is>
      </c>
      <c r="B364" s="6" t="inlineStr">
        <is>
          <t>1.769,00</t>
        </is>
      </c>
      <c r="C364" s="6" t="inlineStr">
        <is>
          <t>30/06/2026</t>
        </is>
      </c>
      <c r="D364" s="6" t="inlineStr">
        <is>
          <t>BOMBA HORMIGON</t>
        </is>
      </c>
      <c r="E364" s="6" t="inlineStr">
        <is>
          <t>LORENZO ROMERO MORALEDA</t>
        </is>
      </c>
      <c r="F364" s="6" t="inlineStr">
        <is>
          <t>IMPUTADO</t>
        </is>
      </c>
      <c r="G364" s="4" t="n">
        <v>950</v>
      </c>
    </row>
    <row r="365">
      <c r="A365" s="6" t="inlineStr">
        <is>
          <t>24018 - OBRA LUC2</t>
        </is>
      </c>
      <c r="B365" s="6" t="inlineStr">
        <is>
          <t>1.492,00</t>
        </is>
      </c>
      <c r="C365" s="6" t="inlineStr">
        <is>
          <t>31/03/2026</t>
        </is>
      </c>
      <c r="D365" s="6" t="inlineStr">
        <is>
          <t>PRESUPUESTO Nº 613788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911.61</v>
      </c>
    </row>
    <row r="366">
      <c r="A366" s="6" t="inlineStr">
        <is>
          <t>24018 - OBRA LUC2</t>
        </is>
      </c>
      <c r="B366" s="6" t="inlineStr">
        <is>
          <t>854</t>
        </is>
      </c>
      <c r="C366" s="6" t="inlineStr">
        <is>
          <t>19/02/2026</t>
        </is>
      </c>
      <c r="D366" s="6" t="inlineStr">
        <is>
          <t>VIAJES ESCOMBRO PINOSO-BARINAS</t>
        </is>
      </c>
      <c r="E366" s="6" t="inlineStr">
        <is>
          <t>TRASERCO COOP VALENCIANA</t>
        </is>
      </c>
      <c r="F366" s="6" t="inlineStr">
        <is>
          <t>IMPUTADO</t>
        </is>
      </c>
      <c r="G366" s="4" t="n">
        <v>900</v>
      </c>
    </row>
    <row r="367">
      <c r="A367" s="6" t="inlineStr">
        <is>
          <t>24018 - OBRA LUC2</t>
        </is>
      </c>
      <c r="B367" s="6" t="inlineStr">
        <is>
          <t>1.539,00</t>
        </is>
      </c>
      <c r="C367" s="6" t="inlineStr">
        <is>
          <t>30/04/2026</t>
        </is>
      </c>
      <c r="D367" s="6" t="inlineStr">
        <is>
          <t>MATERIAL Y FONTANERIA</t>
        </is>
      </c>
      <c r="E367" s="6" t="inlineStr">
        <is>
          <t>MATERIALES DE CONSTRUCCION LOS CAPITOS SL.</t>
        </is>
      </c>
      <c r="F367" s="6" t="inlineStr">
        <is>
          <t>IMPUTADO</t>
        </is>
      </c>
      <c r="G367" s="4" t="n">
        <v>827.84</v>
      </c>
    </row>
    <row r="368">
      <c r="A368" s="6" t="inlineStr">
        <is>
          <t>24018 - OBRA LUC2</t>
        </is>
      </c>
      <c r="B368" s="6" t="inlineStr">
        <is>
          <t>1.661,00</t>
        </is>
      </c>
      <c r="C368" s="6" t="inlineStr">
        <is>
          <t>01/04/2026</t>
        </is>
      </c>
      <c r="D368" s="6" t="inlineStr">
        <is>
          <t>BOMBA LORNZO</t>
        </is>
      </c>
      <c r="E368" s="6" t="inlineStr">
        <is>
          <t>LORENZO ROMERO MORALEDA</t>
        </is>
      </c>
      <c r="F368" s="6" t="inlineStr">
        <is>
          <t>IMPUTADO</t>
        </is>
      </c>
      <c r="G368" s="4" t="n">
        <v>790</v>
      </c>
    </row>
    <row r="369">
      <c r="A369" s="6" t="inlineStr">
        <is>
          <t>24018 - OBRA LUC2</t>
        </is>
      </c>
      <c r="B369" s="6" t="inlineStr">
        <is>
          <t>1.477,00</t>
        </is>
      </c>
      <c r="C369" s="6" t="inlineStr">
        <is>
          <t>24/04/2026</t>
        </is>
      </c>
      <c r="D369" s="6" t="inlineStr">
        <is>
          <t>KG ACERO FERRALLADO</t>
        </is>
      </c>
      <c r="E369" s="6" t="inlineStr">
        <is>
          <t>FERRALLAS MONFORTE DEL CID SL.</t>
        </is>
      </c>
      <c r="F369" s="6" t="inlineStr">
        <is>
          <t>IMPUTADO</t>
        </is>
      </c>
      <c r="G369" s="4" t="n">
        <v>788.5</v>
      </c>
    </row>
    <row r="370">
      <c r="A370" s="6" t="inlineStr">
        <is>
          <t>24018 - OBRA LUC2</t>
        </is>
      </c>
      <c r="B370" s="6" t="inlineStr">
        <is>
          <t>1.253,00</t>
        </is>
      </c>
      <c r="C370" s="6" t="inlineStr">
        <is>
          <t>31/03/2026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720</v>
      </c>
    </row>
    <row r="371">
      <c r="A371" s="6" t="inlineStr">
        <is>
          <t>24018 - OBRA LUC2</t>
        </is>
      </c>
      <c r="B371" s="6" t="inlineStr">
        <is>
          <t>1.478,00</t>
        </is>
      </c>
      <c r="C371" s="6" t="inlineStr">
        <is>
          <t>21/04/2026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715</v>
      </c>
    </row>
    <row r="372">
      <c r="A372" s="6" t="inlineStr">
        <is>
          <t>24018 - OBRA LUC2</t>
        </is>
      </c>
      <c r="B372" s="6" t="inlineStr">
        <is>
          <t>1.141,00</t>
        </is>
      </c>
      <c r="C372" s="6" t="inlineStr">
        <is>
          <t>08/03/2026</t>
        </is>
      </c>
      <c r="D372" s="6" t="inlineStr">
        <is>
          <t>BOMBA CIMENTACION</t>
        </is>
      </c>
      <c r="E372" s="6" t="inlineStr">
        <is>
          <t>LORENZO ROMERO MORALEDA</t>
        </is>
      </c>
      <c r="F372" s="6" t="inlineStr">
        <is>
          <t>IMPUTADO</t>
        </is>
      </c>
      <c r="G372" s="4" t="n">
        <v>700</v>
      </c>
    </row>
    <row r="373">
      <c r="A373" s="6" t="inlineStr">
        <is>
          <t>24018 - OBRA LUC2</t>
        </is>
      </c>
      <c r="B373" s="6" t="inlineStr">
        <is>
          <t>1.207,00</t>
        </is>
      </c>
      <c r="C373" s="6" t="inlineStr">
        <is>
          <t>31/03/2026</t>
        </is>
      </c>
      <c r="D373" s="6" t="inlineStr">
        <is>
          <t>SACA GRAVA + PORTE</t>
        </is>
      </c>
      <c r="E373" s="6" t="inlineStr">
        <is>
          <t>MATERIALES DE CONSTRUCCION LOS CAPITOS SL.</t>
        </is>
      </c>
      <c r="F373" s="6" t="inlineStr">
        <is>
          <t>IMPUTADO</t>
        </is>
      </c>
      <c r="G373" s="4" t="n">
        <v>600.9</v>
      </c>
    </row>
    <row r="374">
      <c r="A374" s="6" t="inlineStr">
        <is>
          <t>24018 - OBRA LUC2</t>
        </is>
      </c>
      <c r="B374" s="6" t="inlineStr">
        <is>
          <t>1.177,00</t>
        </is>
      </c>
      <c r="C374" s="6" t="inlineStr">
        <is>
          <t>18/03/2026</t>
        </is>
      </c>
      <c r="D374" s="6" t="inlineStr">
        <is>
          <t>PRESUPUESTO Nº 611490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528.26</v>
      </c>
    </row>
    <row r="375">
      <c r="A375" s="6" t="inlineStr">
        <is>
          <t>24018 - OBRA LUC2</t>
        </is>
      </c>
      <c r="B375" s="6" t="inlineStr">
        <is>
          <t>1.149,00</t>
        </is>
      </c>
      <c r="C375" s="6" t="inlineStr">
        <is>
          <t>19/01/2026</t>
        </is>
      </c>
      <c r="D375" s="6" t="inlineStr">
        <is>
          <t>Tasas declaracion responsable</t>
        </is>
      </c>
      <c r="E375" s="6" t="inlineStr"/>
      <c r="F375" s="6" t="inlineStr">
        <is>
          <t>IMPUTADO</t>
        </is>
      </c>
      <c r="G375" s="4" t="n">
        <v>429</v>
      </c>
    </row>
    <row r="376">
      <c r="A376" s="6" t="inlineStr">
        <is>
          <t>24018 - OBRA LUC2</t>
        </is>
      </c>
      <c r="B376" s="6" t="inlineStr">
        <is>
          <t>1.097,00</t>
        </is>
      </c>
      <c r="C376" s="6" t="inlineStr">
        <is>
          <t>11/03/2026</t>
        </is>
      </c>
      <c r="D376" s="6" t="inlineStr">
        <is>
          <t>PRESUPUESTO Nº 610328</t>
        </is>
      </c>
      <c r="E376" s="6" t="inlineStr">
        <is>
          <t>LEROY MERLIN ESPAÑA SL</t>
        </is>
      </c>
      <c r="F376" s="6" t="inlineStr">
        <is>
          <t>IMPUTADO</t>
        </is>
      </c>
      <c r="G376" s="4" t="n">
        <v>268.76</v>
      </c>
    </row>
    <row r="377">
      <c r="A377" s="6" t="inlineStr">
        <is>
          <t>24018 - OBRA LUC2</t>
        </is>
      </c>
      <c r="B377" s="6" t="inlineStr">
        <is>
          <t>788</t>
        </is>
      </c>
      <c r="C377" s="6" t="inlineStr">
        <is>
          <t>13/02/2026</t>
        </is>
      </c>
      <c r="D377" s="6" t="inlineStr">
        <is>
          <t>VERTEDERO TIERRAS</t>
        </is>
      </c>
      <c r="E377" s="6" t="inlineStr">
        <is>
          <t>ARIDOS Y PREFABRICADOS BARINAS SL</t>
        </is>
      </c>
      <c r="F377" s="6" t="inlineStr">
        <is>
          <t>IMPUTADO</t>
        </is>
      </c>
      <c r="G377" s="4" t="n">
        <v>199.57</v>
      </c>
    </row>
    <row r="378">
      <c r="A378" s="6" t="inlineStr">
        <is>
          <t>24018 - OBRA LUC2</t>
        </is>
      </c>
      <c r="B378" s="6" t="inlineStr">
        <is>
          <t>1.480,00</t>
        </is>
      </c>
      <c r="C378" s="6" t="inlineStr">
        <is>
          <t>16/04/2026</t>
        </is>
      </c>
      <c r="D378" s="6" t="inlineStr">
        <is>
          <t>SACA ARENA</t>
        </is>
      </c>
      <c r="E378" s="6" t="inlineStr">
        <is>
          <t>MATERIALES DE CONSTRUCCION LOS CAPITOS SL.</t>
        </is>
      </c>
      <c r="F378" s="6" t="inlineStr">
        <is>
          <t>IMPUTADO</t>
        </is>
      </c>
      <c r="G378" s="4" t="n">
        <v>192.4</v>
      </c>
    </row>
    <row r="379">
      <c r="A379" s="6" t="inlineStr">
        <is>
          <t>24018 - OBRA LUC2</t>
        </is>
      </c>
      <c r="B379" s="6" t="inlineStr">
        <is>
          <t>1.276,00</t>
        </is>
      </c>
      <c r="C379" s="6" t="inlineStr">
        <is>
          <t>16/04/2026</t>
        </is>
      </c>
      <c r="D379" s="6" t="inlineStr">
        <is>
          <t>PRESUPUESTO 616437</t>
        </is>
      </c>
      <c r="E379" s="6" t="inlineStr">
        <is>
          <t>LEROY MERLIN ESPAÑA SL</t>
        </is>
      </c>
      <c r="F379" s="6" t="inlineStr">
        <is>
          <t>IMPUTADO</t>
        </is>
      </c>
      <c r="G379" s="4" t="n">
        <v>183.24</v>
      </c>
    </row>
    <row r="380">
      <c r="A380" s="6" t="inlineStr">
        <is>
          <t>24018 - OBRA LUC2</t>
        </is>
      </c>
      <c r="B380" s="6" t="inlineStr">
        <is>
          <t>789</t>
        </is>
      </c>
      <c r="C380" s="6" t="inlineStr">
        <is>
          <t>12/02/2026</t>
        </is>
      </c>
      <c r="D380" s="6" t="inlineStr">
        <is>
          <t>DESBROCE SOLAR</t>
        </is>
      </c>
      <c r="E380" s="6" t="inlineStr">
        <is>
          <t>MARCOS GALIANO POVEDA</t>
        </is>
      </c>
      <c r="F380" s="6" t="inlineStr">
        <is>
          <t>IMPUTADO</t>
        </is>
      </c>
      <c r="G380" s="4" t="n">
        <v>180</v>
      </c>
    </row>
    <row r="381">
      <c r="A381" s="6" t="inlineStr">
        <is>
          <t>24018 - OBRA LUC2</t>
        </is>
      </c>
      <c r="B381" s="6" t="inlineStr">
        <is>
          <t>595</t>
        </is>
      </c>
      <c r="C381" s="6" t="inlineStr">
        <is>
          <t>06/02/2026</t>
        </is>
      </c>
      <c r="D381" s="6" t="inlineStr">
        <is>
          <t>VALLA MOVIL TIPO S</t>
        </is>
      </c>
      <c r="E381" s="6" t="inlineStr">
        <is>
          <t>MATERIALES DE CONSTRUCCION LOS CAPITOS SL.</t>
        </is>
      </c>
      <c r="F381" s="6" t="inlineStr">
        <is>
          <t>IMPUTADO</t>
        </is>
      </c>
      <c r="G381" s="4" t="n">
        <v>132.98</v>
      </c>
    </row>
    <row r="382">
      <c r="A382" s="6" t="inlineStr">
        <is>
          <t>24018 - OBRA LUC2</t>
        </is>
      </c>
      <c r="B382" s="6" t="inlineStr">
        <is>
          <t>1.103,00</t>
        </is>
      </c>
      <c r="C382" s="6" t="inlineStr">
        <is>
          <t>28/02/2026</t>
        </is>
      </c>
      <c r="D382" s="6" t="inlineStr">
        <is>
          <t>DUMPER PINCHAZO</t>
        </is>
      </c>
      <c r="E382" s="6" t="inlineStr">
        <is>
          <t>CHOOSEMAK SOCIEDAD DE RESPONSABILIDAD LIMITADA</t>
        </is>
      </c>
      <c r="F382" s="6" t="inlineStr">
        <is>
          <t>IMPUTADO</t>
        </is>
      </c>
      <c r="G382" s="4" t="n">
        <v>82</v>
      </c>
    </row>
    <row r="383">
      <c r="A383" s="6" t="inlineStr">
        <is>
          <t>24018 - OBRA LUC2</t>
        </is>
      </c>
      <c r="B383" s="6" t="inlineStr">
        <is>
          <t>877</t>
        </is>
      </c>
      <c r="C383" s="6" t="inlineStr">
        <is>
          <t>27/02/2026</t>
        </is>
      </c>
      <c r="D383" s="6" t="inlineStr">
        <is>
          <t>ROLLO PLASTICO</t>
        </is>
      </c>
      <c r="E383" s="6" t="inlineStr">
        <is>
          <t>JUAN JOSÉ MUÑOZ ROBLES</t>
        </is>
      </c>
      <c r="F383" s="6" t="inlineStr">
        <is>
          <t>IMPUTADO</t>
        </is>
      </c>
      <c r="G383" s="4" t="n">
        <v>72</v>
      </c>
    </row>
    <row r="384">
      <c r="A384" s="6" t="inlineStr">
        <is>
          <t>24018 - OBRA LUC2</t>
        </is>
      </c>
      <c r="B384" s="6" t="inlineStr">
        <is>
          <t>876</t>
        </is>
      </c>
      <c r="C384" s="6" t="inlineStr">
        <is>
          <t>27/02/2026</t>
        </is>
      </c>
      <c r="D384" s="6" t="inlineStr">
        <is>
          <t>ROLLO PLÁSTICO</t>
        </is>
      </c>
      <c r="E384" s="6" t="inlineStr">
        <is>
          <t>JUAN JOSÉ MUÑOZ ROBLES</t>
        </is>
      </c>
      <c r="F384" s="6" t="inlineStr">
        <is>
          <t>IMPUTADO</t>
        </is>
      </c>
      <c r="G384" s="4" t="n">
        <v>72</v>
      </c>
    </row>
    <row r="385">
      <c r="A385" s="6" t="inlineStr">
        <is>
          <t>24018 - OBRA LUC2</t>
        </is>
      </c>
      <c r="B385" s="6" t="inlineStr">
        <is>
          <t>1.479,00</t>
        </is>
      </c>
      <c r="C385" s="6" t="inlineStr">
        <is>
          <t>20/04/2026</t>
        </is>
      </c>
      <c r="D385" s="6" t="inlineStr">
        <is>
          <t>GRUA</t>
        </is>
      </c>
      <c r="E385" s="6" t="inlineStr">
        <is>
          <t>JOSE LUIS PEREZ JAREÑO</t>
        </is>
      </c>
      <c r="F385" s="6" t="inlineStr">
        <is>
          <t>IMPUTADO</t>
        </is>
      </c>
      <c r="G385" s="4" t="n">
        <v>45</v>
      </c>
    </row>
    <row r="386">
      <c r="A386" s="6" t="inlineStr">
        <is>
          <t>24018 - OBRA LUC2</t>
        </is>
      </c>
      <c r="B386" s="6" t="inlineStr">
        <is>
          <t>1.528,00</t>
        </is>
      </c>
      <c r="C386" s="6" t="inlineStr">
        <is>
          <t>24/04/2026</t>
        </is>
      </c>
      <c r="D386" s="6" t="inlineStr">
        <is>
          <t>PINTURA/BROCHA/CEPILLO</t>
        </is>
      </c>
      <c r="E386" s="6" t="inlineStr">
        <is>
          <t>ESTABLECIMIENTOS DEMETRIO SL</t>
        </is>
      </c>
      <c r="F386" s="6" t="inlineStr">
        <is>
          <t>IMPUTADO</t>
        </is>
      </c>
      <c r="G386" s="4" t="n">
        <v>42.56</v>
      </c>
    </row>
    <row r="387">
      <c r="A387" s="6" t="inlineStr">
        <is>
          <t>24018 - OBRA LUC2</t>
        </is>
      </c>
      <c r="B387" s="6" t="inlineStr">
        <is>
          <t>594</t>
        </is>
      </c>
      <c r="C387" s="6" t="inlineStr">
        <is>
          <t>06/02/2026</t>
        </is>
      </c>
      <c r="D387" s="6" t="inlineStr">
        <is>
          <t>CADENA GALVANIZADA / CANDADO / HEMBRILLA / TACO</t>
        </is>
      </c>
      <c r="E387" s="6" t="inlineStr">
        <is>
          <t>ESTABLECIMIENTOS DEMETRIO SL</t>
        </is>
      </c>
      <c r="F387" s="6" t="inlineStr">
        <is>
          <t>IMPUTADO</t>
        </is>
      </c>
      <c r="G387" s="4" t="n">
        <v>29.87</v>
      </c>
    </row>
    <row r="388">
      <c r="A388" s="6" t="inlineStr">
        <is>
          <t>24018 - OBRA LUC2</t>
        </is>
      </c>
      <c r="B388" s="6" t="inlineStr">
        <is>
          <t>589</t>
        </is>
      </c>
      <c r="C388" s="6" t="inlineStr">
        <is>
          <t>10/02/2026</t>
        </is>
      </c>
      <c r="D388" s="6" t="inlineStr">
        <is>
          <t>MATERIAL</t>
        </is>
      </c>
      <c r="E388" s="6" t="inlineStr">
        <is>
          <t>ESTABLECIMIENTOS DEMETRIO SL</t>
        </is>
      </c>
      <c r="F388" s="6" t="inlineStr">
        <is>
          <t>IMPUTADO</t>
        </is>
      </c>
      <c r="G388" s="4" t="n">
        <v>23.89</v>
      </c>
    </row>
    <row r="389">
      <c r="A389" s="6" t="inlineStr">
        <is>
          <t>24018 - OBRA LUC2</t>
        </is>
      </c>
      <c r="B389" s="6" t="inlineStr">
        <is>
          <t>1.108,00</t>
        </is>
      </c>
      <c r="C389" s="6" t="inlineStr">
        <is>
          <t>25/02/2026</t>
        </is>
      </c>
      <c r="D389" s="6" t="inlineStr">
        <is>
          <t>CANDADO</t>
        </is>
      </c>
      <c r="E389" s="6" t="inlineStr">
        <is>
          <t>ESTABLECIMIENTOS DEMETRIO SL</t>
        </is>
      </c>
      <c r="F389" s="6" t="inlineStr">
        <is>
          <t>IMPUTADO</t>
        </is>
      </c>
      <c r="G389" s="4" t="n">
        <v>12.23</v>
      </c>
    </row>
    <row r="390">
      <c r="A390" s="6" t="inlineStr">
        <is>
          <t>2600 - OBRA MURO CAMPO ARANTXA</t>
        </is>
      </c>
      <c r="B390" s="6" t="inlineStr">
        <is>
          <t>875</t>
        </is>
      </c>
      <c r="C390" s="6" t="inlineStr">
        <is>
          <t>09/02/2026</t>
        </is>
      </c>
      <c r="D390" s="6" t="inlineStr">
        <is>
          <t>LEROY MERIN (PRESUPUESTO 605142)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3338.27</v>
      </c>
    </row>
    <row r="391">
      <c r="A391" s="6" t="inlineStr">
        <is>
          <t>2600 - OBRA MURO CAMPO ARANTXA</t>
        </is>
      </c>
      <c r="B391" s="6" t="inlineStr">
        <is>
          <t>914</t>
        </is>
      </c>
      <c r="C391" s="6" t="inlineStr">
        <is>
          <t>05/03/2026</t>
        </is>
      </c>
      <c r="D391" s="6" t="inlineStr">
        <is>
          <t>PRESUPUESTO Nº 609376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477.49</v>
      </c>
    </row>
    <row r="392">
      <c r="A392" s="6" t="inlineStr">
        <is>
          <t>2600 - OBRA MURO CAMPO ARANTXA</t>
        </is>
      </c>
      <c r="B392" s="6" t="inlineStr">
        <is>
          <t>918</t>
        </is>
      </c>
      <c r="C392" s="6" t="inlineStr">
        <is>
          <t>23/02/2026</t>
        </is>
      </c>
      <c r="D392" s="6" t="inlineStr">
        <is>
          <t>PRESUPUESTO Nº 607423-2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414.57</v>
      </c>
    </row>
    <row r="393">
      <c r="A393" s="6" t="inlineStr">
        <is>
          <t>26001 - SANTA ROSA</t>
        </is>
      </c>
      <c r="B393" s="6" t="inlineStr">
        <is>
          <t>1.121,00</t>
        </is>
      </c>
      <c r="C393" s="6" t="inlineStr">
        <is>
          <t>05/03/2026</t>
        </is>
      </c>
      <c r="D393" s="6" t="inlineStr">
        <is>
          <t>PLADUR</t>
        </is>
      </c>
      <c r="E393" s="6" t="inlineStr">
        <is>
          <t>FRANCISCO JOSE BERMEJO ROSA</t>
        </is>
      </c>
      <c r="F393" s="6" t="inlineStr">
        <is>
          <t>IMPUTADO</t>
        </is>
      </c>
      <c r="G393" s="4" t="n">
        <v>2940</v>
      </c>
    </row>
    <row r="394">
      <c r="A394" s="6" t="inlineStr">
        <is>
          <t>26001 - SANTA ROSA</t>
        </is>
      </c>
      <c r="B394" s="6" t="inlineStr">
        <is>
          <t>610</t>
        </is>
      </c>
      <c r="C394" s="6" t="inlineStr">
        <is>
          <t>03/02/2026</t>
        </is>
      </c>
      <c r="D394" s="6" t="inlineStr">
        <is>
          <t>INSTALACIÓN ELÉCTRICA EN VIVIENDA Y BOLETÍN</t>
        </is>
      </c>
      <c r="E394" s="6" t="inlineStr">
        <is>
          <t>MOVE2GO SL.</t>
        </is>
      </c>
      <c r="F394" s="6" t="inlineStr">
        <is>
          <t>IMPUTADO</t>
        </is>
      </c>
      <c r="G394" s="4" t="n">
        <v>1488</v>
      </c>
    </row>
    <row r="395">
      <c r="A395" s="6" t="inlineStr">
        <is>
          <t>26001 - SANTA ROSA</t>
        </is>
      </c>
      <c r="B395" s="6" t="inlineStr">
        <is>
          <t>1.267,00</t>
        </is>
      </c>
      <c r="C395" s="6" t="inlineStr">
        <is>
          <t>08/04/2026</t>
        </is>
      </c>
      <c r="D395" s="6" t="inlineStr">
        <is>
          <t>COLOCACIÓN TARIMA</t>
        </is>
      </c>
      <c r="E395" s="6" t="inlineStr">
        <is>
          <t>OSCAR DAINEL NUÑEZ BOBADILLA</t>
        </is>
      </c>
      <c r="F395" s="6" t="inlineStr">
        <is>
          <t>IMPUTADO</t>
        </is>
      </c>
      <c r="G395" s="4" t="n">
        <v>1180</v>
      </c>
    </row>
    <row r="396">
      <c r="A396" s="6" t="inlineStr">
        <is>
          <t>26001 - SANTA ROSA</t>
        </is>
      </c>
      <c r="B396" s="6" t="inlineStr">
        <is>
          <t>1.178,00</t>
        </is>
      </c>
      <c r="C396" s="6" t="inlineStr">
        <is>
          <t>26/03/2026</t>
        </is>
      </c>
      <c r="D396" s="6" t="inlineStr">
        <is>
          <t>Mano de Obra Tarima #tarima, puertas</t>
        </is>
      </c>
      <c r="E396" s="6" t="inlineStr">
        <is>
          <t>ION NITU</t>
        </is>
      </c>
      <c r="F396" s="6" t="inlineStr">
        <is>
          <t>IMPUTADO</t>
        </is>
      </c>
      <c r="G396" s="4" t="n">
        <v>1080</v>
      </c>
    </row>
    <row r="397">
      <c r="A397" s="6" t="inlineStr">
        <is>
          <t>26001 - SANTA ROSA</t>
        </is>
      </c>
      <c r="B397" s="6" t="inlineStr">
        <is>
          <t>598</t>
        </is>
      </c>
      <c r="C397" s="6" t="inlineStr">
        <is>
          <t>05/02/2026</t>
        </is>
      </c>
      <c r="D397" s="6" t="inlineStr">
        <is>
          <t>MASILLA PARA ALISAR</t>
        </is>
      </c>
      <c r="E397" s="6" t="inlineStr">
        <is>
          <t>DECOBRIC SANZ SL</t>
        </is>
      </c>
      <c r="F397" s="6" t="inlineStr">
        <is>
          <t>IMPUTADO</t>
        </is>
      </c>
      <c r="G397" s="4" t="n">
        <v>726</v>
      </c>
    </row>
    <row r="398">
      <c r="A398" s="6" t="inlineStr">
        <is>
          <t>26001 - SANTA ROSA</t>
        </is>
      </c>
      <c r="B398" s="6" t="inlineStr">
        <is>
          <t>1.180,00</t>
        </is>
      </c>
      <c r="C398" s="6" t="inlineStr">
        <is>
          <t>24/03/2026</t>
        </is>
      </c>
      <c r="D398" s="6" t="inlineStr">
        <is>
          <t>PINTURA</t>
        </is>
      </c>
      <c r="E398" s="6" t="inlineStr">
        <is>
          <t>DECOBRIC SANZ SL</t>
        </is>
      </c>
      <c r="F398" s="6" t="inlineStr">
        <is>
          <t>IMPUTADO</t>
        </is>
      </c>
      <c r="G398" s="4" t="n">
        <v>470.35</v>
      </c>
    </row>
    <row r="399">
      <c r="A399" s="6" t="inlineStr">
        <is>
          <t>26001 - SANTA ROSA</t>
        </is>
      </c>
      <c r="B399" s="6" t="inlineStr">
        <is>
          <t>619</t>
        </is>
      </c>
      <c r="C399" s="6" t="inlineStr">
        <is>
          <t>31/01/2026</t>
        </is>
      </c>
      <c r="D399" s="6" t="inlineStr">
        <is>
          <t>CONTENEDORES</t>
        </is>
      </c>
      <c r="E399" s="6" t="inlineStr">
        <is>
          <t>CONTENEDORES REUNIDOS SL</t>
        </is>
      </c>
      <c r="F399" s="6" t="inlineStr">
        <is>
          <t>IMPUTADO</t>
        </is>
      </c>
      <c r="G399" s="4" t="n">
        <v>435</v>
      </c>
    </row>
    <row r="400">
      <c r="A400" s="6" t="inlineStr">
        <is>
          <t>26001 - SANTA ROSA</t>
        </is>
      </c>
      <c r="B400" s="6" t="inlineStr">
        <is>
          <t>879</t>
        </is>
      </c>
      <c r="C400" s="6" t="inlineStr">
        <is>
          <t>17/02/2026</t>
        </is>
      </c>
      <c r="D400" s="6" t="inlineStr">
        <is>
          <t>LEROY MERLIN (PRESUPUESTO 606525)</t>
        </is>
      </c>
      <c r="E400" s="6" t="inlineStr">
        <is>
          <t>LEROY MERLIN ESPAÑA SL</t>
        </is>
      </c>
      <c r="F400" s="6" t="inlineStr">
        <is>
          <t>IMPUTADO</t>
        </is>
      </c>
      <c r="G400" s="4" t="n">
        <v>345.13</v>
      </c>
    </row>
    <row r="401">
      <c r="A401" s="6" t="inlineStr">
        <is>
          <t>26001 - SANTA ROSA</t>
        </is>
      </c>
      <c r="B401" s="6" t="inlineStr">
        <is>
          <t>615</t>
        </is>
      </c>
      <c r="C401" s="6" t="inlineStr">
        <is>
          <t>02/02/2026</t>
        </is>
      </c>
      <c r="D401" s="6" t="inlineStr">
        <is>
          <t>MATERIAL OBRA</t>
        </is>
      </c>
      <c r="E401" s="6" t="inlineStr">
        <is>
          <t>BRICOLAJE BRICOMAN SLU</t>
        </is>
      </c>
      <c r="F401" s="6" t="inlineStr">
        <is>
          <t>IMPUTADO</t>
        </is>
      </c>
      <c r="G401" s="4" t="n">
        <v>179.86</v>
      </c>
    </row>
    <row r="402">
      <c r="A402" s="6" t="inlineStr">
        <is>
          <t>26001 - SANTA ROSA</t>
        </is>
      </c>
      <c r="B402" s="6" t="inlineStr">
        <is>
          <t>603</t>
        </is>
      </c>
      <c r="C402" s="6" t="inlineStr">
        <is>
          <t>04/02/2026</t>
        </is>
      </c>
      <c r="D402" s="6" t="inlineStr">
        <is>
          <t>PREMARCOS</t>
        </is>
      </c>
      <c r="E402" s="6" t="inlineStr">
        <is>
          <t>CARPINTERIA EBANISTERIA BAMBU SL.</t>
        </is>
      </c>
      <c r="F402" s="6" t="inlineStr">
        <is>
          <t>IMPUTADO</t>
        </is>
      </c>
      <c r="G402" s="4" t="n">
        <v>160</v>
      </c>
    </row>
    <row r="403">
      <c r="A403" s="6" t="inlineStr">
        <is>
          <t>26001 - SANTA ROSA</t>
        </is>
      </c>
      <c r="B403" s="6" t="inlineStr">
        <is>
          <t>840</t>
        </is>
      </c>
      <c r="C403" s="6" t="inlineStr">
        <is>
          <t>04/02/2026</t>
        </is>
      </c>
      <c r="D403" s="6" t="inlineStr">
        <is>
          <t>PLATO DUCHA (MEJORA + 20%)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156.16</v>
      </c>
    </row>
    <row r="404">
      <c r="A404" s="6" t="inlineStr">
        <is>
          <t>26001 - SANTA ROSA</t>
        </is>
      </c>
      <c r="B404" s="6" t="inlineStr">
        <is>
          <t>1.116,00</t>
        </is>
      </c>
      <c r="C404" s="6" t="inlineStr">
        <is>
          <t>28/02/2026</t>
        </is>
      </c>
      <c r="D404" s="6" t="inlineStr">
        <is>
          <t>CONTENEDORES</t>
        </is>
      </c>
      <c r="E404" s="6" t="inlineStr">
        <is>
          <t>CONTENEDORES REUNIDOS SL</t>
        </is>
      </c>
      <c r="F404" s="6" t="inlineStr">
        <is>
          <t>IMPUTADO</t>
        </is>
      </c>
      <c r="G404" s="4" t="n">
        <v>145</v>
      </c>
    </row>
    <row r="405">
      <c r="A405" s="6" t="inlineStr">
        <is>
          <t>26001 - SANTA ROSA</t>
        </is>
      </c>
      <c r="B405" s="6" t="inlineStr">
        <is>
          <t>1.135,00</t>
        </is>
      </c>
      <c r="C405" s="6" t="inlineStr">
        <is>
          <t>10/03/2026</t>
        </is>
      </c>
      <c r="D405" s="6" t="inlineStr">
        <is>
          <t>MATERIAL OBRA</t>
        </is>
      </c>
      <c r="E405" s="6" t="inlineStr">
        <is>
          <t>BRICOLAJE BRICOMAN SLU</t>
        </is>
      </c>
      <c r="F405" s="6" t="inlineStr">
        <is>
          <t>IMPUTADO</t>
        </is>
      </c>
      <c r="G405" s="4" t="n">
        <v>86.63</v>
      </c>
    </row>
    <row r="406">
      <c r="A406" s="6" t="inlineStr">
        <is>
          <t>26001 - SANTA ROSA</t>
        </is>
      </c>
      <c r="B406" s="6" t="inlineStr">
        <is>
          <t>1.223,00</t>
        </is>
      </c>
      <c r="C406" s="6" t="inlineStr">
        <is>
          <t>30/03/2026</t>
        </is>
      </c>
      <c r="D406" s="6" t="inlineStr">
        <is>
          <t>PINTURA</t>
        </is>
      </c>
      <c r="E406" s="6" t="inlineStr">
        <is>
          <t>DECOBRIC SANZ SL</t>
        </is>
      </c>
      <c r="F406" s="6" t="inlineStr">
        <is>
          <t>IMPUTADO</t>
        </is>
      </c>
      <c r="G406" s="4" t="n">
        <v>76.5</v>
      </c>
    </row>
    <row r="407">
      <c r="A407" s="6" t="inlineStr">
        <is>
          <t>26001 - SANTA ROSA</t>
        </is>
      </c>
      <c r="B407" s="6" t="inlineStr">
        <is>
          <t>1.155,00</t>
        </is>
      </c>
      <c r="C407" s="6" t="inlineStr">
        <is>
          <t>12/02/2026</t>
        </is>
      </c>
      <c r="D407" s="6" t="inlineStr">
        <is>
          <t>ARENA MEZCLA / YESO CONTROL PLACO / WEBERCOL FLEX DUO / # ALBAÑILERIA - MATERIAL</t>
        </is>
      </c>
      <c r="E407" s="6" t="inlineStr">
        <is>
          <t>BRICOLAJE BRICOMAN SLU</t>
        </is>
      </c>
      <c r="F407" s="6" t="inlineStr">
        <is>
          <t>IMPUTADO</t>
        </is>
      </c>
      <c r="G407" s="4" t="n">
        <v>72.48</v>
      </c>
    </row>
    <row r="408">
      <c r="A408" s="6" t="inlineStr">
        <is>
          <t>26001 - SANTA ROSA</t>
        </is>
      </c>
      <c r="B408" s="6" t="inlineStr">
        <is>
          <t>597</t>
        </is>
      </c>
      <c r="C408" s="6" t="inlineStr">
        <is>
          <t>05/02/2026</t>
        </is>
      </c>
      <c r="D408" s="6" t="inlineStr">
        <is>
          <t>DICOS ABRANET 225mm</t>
        </is>
      </c>
      <c r="E408" s="6" t="inlineStr"/>
      <c r="F408" s="6" t="inlineStr">
        <is>
          <t>IMPUTADO</t>
        </is>
      </c>
      <c r="G408" s="4" t="n">
        <v>71.78</v>
      </c>
    </row>
    <row r="409">
      <c r="A409" s="6" t="inlineStr">
        <is>
          <t>26001 - SANTA ROSA</t>
        </is>
      </c>
      <c r="B409" s="6" t="inlineStr">
        <is>
          <t>1.212,00</t>
        </is>
      </c>
      <c r="C409" s="6" t="inlineStr">
        <is>
          <t>25/03/2026</t>
        </is>
      </c>
      <c r="D409" s="6" t="inlineStr">
        <is>
          <t>PINTURA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60.33</v>
      </c>
    </row>
    <row r="410">
      <c r="A410" s="6" t="inlineStr">
        <is>
          <t>26001 - SANTA ROSA</t>
        </is>
      </c>
      <c r="B410" s="6" t="inlineStr">
        <is>
          <t>841</t>
        </is>
      </c>
      <c r="C410" s="6" t="inlineStr">
        <is>
          <t>10/02/2026</t>
        </is>
      </c>
      <c r="D410" s="6" t="inlineStr">
        <is>
          <t>CERROJO SEGURIDAD (MEJORA + 20%) ENEL CERROJO</t>
        </is>
      </c>
      <c r="E410" s="6" t="inlineStr">
        <is>
          <t>FERRETERIA SANTIAGO EL MAYOR</t>
        </is>
      </c>
      <c r="F410" s="6" t="inlineStr">
        <is>
          <t>IMPUTADO</t>
        </is>
      </c>
      <c r="G410" s="4" t="n">
        <v>59.13</v>
      </c>
    </row>
    <row r="411">
      <c r="A411" s="6" t="inlineStr">
        <is>
          <t>26001 - SANTA ROSA</t>
        </is>
      </c>
      <c r="B411" s="6" t="inlineStr">
        <is>
          <t>614</t>
        </is>
      </c>
      <c r="C411" s="6" t="inlineStr">
        <is>
          <t>02/02/2026</t>
        </is>
      </c>
      <c r="D411" s="6" t="inlineStr">
        <is>
          <t>MATERIAL OBRA</t>
        </is>
      </c>
      <c r="E411" s="6" t="inlineStr">
        <is>
          <t>BRICOLAJE BRICOMAN SLU</t>
        </is>
      </c>
      <c r="F411" s="6" t="inlineStr">
        <is>
          <t>IMPUTADO</t>
        </is>
      </c>
      <c r="G411" s="4" t="n">
        <v>53.17</v>
      </c>
    </row>
    <row r="412">
      <c r="A412" s="6" t="inlineStr">
        <is>
          <t>26001 - SANTA ROSA</t>
        </is>
      </c>
      <c r="B412" s="6" t="inlineStr">
        <is>
          <t>814</t>
        </is>
      </c>
      <c r="C412" s="6" t="inlineStr">
        <is>
          <t>09/02/2026</t>
        </is>
      </c>
      <c r="D412" s="6" t="inlineStr">
        <is>
          <t>GRAVA / ARENA BCO / CEMENTO / YEO CONTROL #ALBAÑILERIA - MATERIAL</t>
        </is>
      </c>
      <c r="E412" s="6" t="inlineStr">
        <is>
          <t>BRICOLAJE BRICOMAN SLU</t>
        </is>
      </c>
      <c r="F412" s="6" t="inlineStr">
        <is>
          <t>IMPUTADO</t>
        </is>
      </c>
      <c r="G412" s="4" t="n">
        <v>51.94</v>
      </c>
    </row>
    <row r="413">
      <c r="A413" s="6" t="inlineStr">
        <is>
          <t>26001 - SANTA ROSA</t>
        </is>
      </c>
      <c r="B413" s="6" t="inlineStr">
        <is>
          <t>1.248,00</t>
        </is>
      </c>
      <c r="C413" s="6" t="inlineStr">
        <is>
          <t>30/03/2026</t>
        </is>
      </c>
      <c r="D413" s="6" t="inlineStr">
        <is>
          <t>ARREGLO PERSINAA</t>
        </is>
      </c>
      <c r="E413" s="6" t="inlineStr">
        <is>
          <t>TABLEROS Y PUERTAS MORENO SL</t>
        </is>
      </c>
      <c r="F413" s="6" t="inlineStr">
        <is>
          <t>IMPUTADO</t>
        </is>
      </c>
      <c r="G413" s="4" t="n">
        <v>45.73</v>
      </c>
    </row>
    <row r="414">
      <c r="A414" s="6" t="inlineStr">
        <is>
          <t>26001 - SANTA ROSA</t>
        </is>
      </c>
      <c r="B414" s="6" t="inlineStr">
        <is>
          <t>1.508,00</t>
        </is>
      </c>
      <c r="C414" s="6" t="inlineStr">
        <is>
          <t>15/04/2026</t>
        </is>
      </c>
      <c r="D414" s="6" t="inlineStr">
        <is>
          <t>MATERIAL OBRA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45.32</v>
      </c>
    </row>
    <row r="415">
      <c r="A415" s="6" t="inlineStr">
        <is>
          <t>26001 - SANTA ROSA</t>
        </is>
      </c>
      <c r="B415" s="6" t="inlineStr">
        <is>
          <t>1.099,00</t>
        </is>
      </c>
      <c r="C415" s="6" t="inlineStr">
        <is>
          <t>06/03/2026</t>
        </is>
      </c>
      <c r="D415" s="6" t="inlineStr">
        <is>
          <t>TUBO EXTRACCIÓN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37.84</v>
      </c>
    </row>
    <row r="416">
      <c r="A416" s="6" t="inlineStr">
        <is>
          <t>26001 - SANTA ROSA</t>
        </is>
      </c>
      <c r="B416" s="6" t="inlineStr">
        <is>
          <t>1.221,00</t>
        </is>
      </c>
      <c r="C416" s="6" t="inlineStr">
        <is>
          <t>30/03/2026</t>
        </is>
      </c>
      <c r="D416" s="6" t="inlineStr">
        <is>
          <t>MATERIAL OBRA</t>
        </is>
      </c>
      <c r="E416" s="6" t="inlineStr">
        <is>
          <t>FERRETERIA SANTIAGO EL MAYOR</t>
        </is>
      </c>
      <c r="F416" s="6" t="inlineStr">
        <is>
          <t>IMPUTADO</t>
        </is>
      </c>
      <c r="G416" s="4" t="n">
        <v>34.46</v>
      </c>
    </row>
    <row r="417">
      <c r="A417" s="6" t="inlineStr">
        <is>
          <t>26001 - SANTA ROSA</t>
        </is>
      </c>
      <c r="B417" s="6" t="inlineStr">
        <is>
          <t>1.229,00</t>
        </is>
      </c>
      <c r="C417" s="6" t="inlineStr">
        <is>
          <t>20/03/2026</t>
        </is>
      </c>
      <c r="D417" s="6" t="inlineStr">
        <is>
          <t>MATERIAL OBRA #mejora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33.12</v>
      </c>
    </row>
    <row r="418">
      <c r="A418" s="6" t="inlineStr">
        <is>
          <t>26001 - SANTA ROSA</t>
        </is>
      </c>
      <c r="B418" s="6" t="inlineStr">
        <is>
          <t>1.213,00</t>
        </is>
      </c>
      <c r="C418" s="6" t="inlineStr">
        <is>
          <t>23/03/2026</t>
        </is>
      </c>
      <c r="D418" s="6" t="inlineStr">
        <is>
          <t>MORAFOND-LIMPIEZA SALITRE  OXIDOO #mejora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21.66</v>
      </c>
    </row>
    <row r="419">
      <c r="A419" s="6" t="inlineStr">
        <is>
          <t>26001 - SANTA ROSA</t>
        </is>
      </c>
      <c r="B419" s="6" t="inlineStr">
        <is>
          <t>1.263,00</t>
        </is>
      </c>
      <c r="C419" s="6" t="inlineStr">
        <is>
          <t>10/04/2026</t>
        </is>
      </c>
      <c r="D419" s="6" t="inlineStr">
        <is>
          <t>PISTOLA SILICONA, BOCA EXTRACCION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20.46</v>
      </c>
    </row>
    <row r="420">
      <c r="A420" s="6" t="inlineStr">
        <is>
          <t>26001 - SANTA ROSA</t>
        </is>
      </c>
      <c r="B420" s="6" t="inlineStr">
        <is>
          <t>1.269,00</t>
        </is>
      </c>
      <c r="C420" s="6" t="inlineStr">
        <is>
          <t>08/04/2026</t>
        </is>
      </c>
      <c r="D420" s="6" t="inlineStr">
        <is>
          <t>MATERIAL</t>
        </is>
      </c>
      <c r="E420" s="6" t="inlineStr">
        <is>
          <t>LEROY MERLIN ESPAÑA SL</t>
        </is>
      </c>
      <c r="F420" s="6" t="inlineStr">
        <is>
          <t>IMPUTADO</t>
        </is>
      </c>
      <c r="G420" s="4" t="n">
        <v>17.83</v>
      </c>
    </row>
    <row r="421">
      <c r="A421" s="6" t="inlineStr">
        <is>
          <t>26001 - SANTA ROSA</t>
        </is>
      </c>
      <c r="B421" s="6" t="inlineStr">
        <is>
          <t>1.224,00</t>
        </is>
      </c>
      <c r="C421" s="6" t="inlineStr">
        <is>
          <t>26/03/2026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17.83</v>
      </c>
    </row>
    <row r="422">
      <c r="A422" s="6" t="inlineStr">
        <is>
          <t>26001 - SANTA ROSA</t>
        </is>
      </c>
      <c r="B422" s="6" t="inlineStr">
        <is>
          <t>1.204,00</t>
        </is>
      </c>
      <c r="C422" s="6" t="inlineStr">
        <is>
          <t>26/03/2026</t>
        </is>
      </c>
      <c r="D422" s="6" t="inlineStr">
        <is>
          <t>ADH ACRILICO - ESPUMA TEJAS #mejora</t>
        </is>
      </c>
      <c r="E422" s="6" t="inlineStr">
        <is>
          <t>LEROY MERLIN ESPAÑA SL</t>
        </is>
      </c>
      <c r="F422" s="6" t="inlineStr">
        <is>
          <t>IMPUTADO</t>
        </is>
      </c>
      <c r="G422" s="4" t="n">
        <v>15.29</v>
      </c>
    </row>
    <row r="423">
      <c r="A423" s="6" t="inlineStr">
        <is>
          <t>26001 - SANTA ROSA</t>
        </is>
      </c>
      <c r="B423" s="6" t="inlineStr">
        <is>
          <t>812</t>
        </is>
      </c>
      <c r="C423" s="6" t="inlineStr">
        <is>
          <t>09/02/2026</t>
        </is>
      </c>
      <c r="D423" s="6" t="inlineStr">
        <is>
          <t>TUVO PVC VARIOS #ALBAÑILERIA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14.2</v>
      </c>
    </row>
    <row r="424">
      <c r="A424" s="6" t="inlineStr">
        <is>
          <t>26001 - SANTA ROSA</t>
        </is>
      </c>
      <c r="B424" s="6" t="inlineStr">
        <is>
          <t>1.247,00</t>
        </is>
      </c>
      <c r="C424" s="6" t="inlineStr">
        <is>
          <t>30/03/2026</t>
        </is>
      </c>
      <c r="D424" s="6" t="inlineStr">
        <is>
          <t>MATERIAL PERSIANA #mejora pintura</t>
        </is>
      </c>
      <c r="E424" s="6" t="inlineStr">
        <is>
          <t>FERRETERIA SANTIAGO EL MAYOR</t>
        </is>
      </c>
      <c r="F424" s="6" t="inlineStr">
        <is>
          <t>IMPUTADO</t>
        </is>
      </c>
      <c r="G424" s="4" t="n">
        <v>8.550000000000001</v>
      </c>
    </row>
    <row r="425">
      <c r="A425" s="6" t="inlineStr">
        <is>
          <t>26002 - GARAJE MURCIA</t>
        </is>
      </c>
      <c r="B425" s="6" t="inlineStr">
        <is>
          <t>1.173,00</t>
        </is>
      </c>
      <c r="C425" s="6" t="inlineStr">
        <is>
          <t>18/03/2026</t>
        </is>
      </c>
      <c r="D425" s="6" t="inlineStr">
        <is>
          <t>INTALACIÓN COMPLETA DE ELECTRICIDAD EN GARAJE</t>
        </is>
      </c>
      <c r="E425" s="6" t="inlineStr">
        <is>
          <t>MOVE2GO SL.</t>
        </is>
      </c>
      <c r="F425" s="6" t="inlineStr">
        <is>
          <t>IMPUTADO</t>
        </is>
      </c>
      <c r="G425" s="4" t="n">
        <v>1087.5</v>
      </c>
    </row>
    <row r="426">
      <c r="A426" s="6" t="inlineStr">
        <is>
          <t>26002 - GARAJE MURCIA</t>
        </is>
      </c>
      <c r="B426" s="6" t="inlineStr">
        <is>
          <t>851</t>
        </is>
      </c>
      <c r="C426" s="6" t="inlineStr">
        <is>
          <t>03/02/2026</t>
        </is>
      </c>
      <c r="D426" s="6" t="inlineStr">
        <is>
          <t>INTALACIÓN COMPLETA DE ELECTRICIDAD EN GARAJE</t>
        </is>
      </c>
      <c r="E426" s="6" t="inlineStr">
        <is>
          <t>MOVE2GO SL.</t>
        </is>
      </c>
      <c r="F426" s="6" t="inlineStr">
        <is>
          <t>IMPUTADO</t>
        </is>
      </c>
      <c r="G426" s="4" t="n">
        <v>1087.5</v>
      </c>
    </row>
    <row r="427">
      <c r="A427" s="6" t="inlineStr">
        <is>
          <t>26002 - GARAJE MURCIA</t>
        </is>
      </c>
      <c r="B427" s="6" t="inlineStr">
        <is>
          <t>874</t>
        </is>
      </c>
      <c r="C427" s="6" t="inlineStr">
        <is>
          <t>28/01/2026</t>
        </is>
      </c>
      <c r="D427" s="6" t="inlineStr">
        <is>
          <t>LEROY MERLIN (PRESUPUESTO 603119) FOTO EN DOCUMENTOS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469.96</v>
      </c>
    </row>
    <row r="428">
      <c r="A428" s="6" t="inlineStr">
        <is>
          <t>26002 - GARAJE MURCIA</t>
        </is>
      </c>
      <c r="B428" s="6" t="inlineStr">
        <is>
          <t>853</t>
        </is>
      </c>
      <c r="C428" s="6" t="inlineStr">
        <is>
          <t>23/02/2026</t>
        </is>
      </c>
      <c r="D428" s="6" t="inlineStr">
        <is>
          <t>LEROY MERLIN (PRESUPUESTO 602161) FOTO EN DOCUMENTOS</t>
        </is>
      </c>
      <c r="E428" s="6" t="inlineStr">
        <is>
          <t>LEROY MERLIN ESPAÑA SL</t>
        </is>
      </c>
      <c r="F428" s="6" t="inlineStr">
        <is>
          <t>IMPUTADO</t>
        </is>
      </c>
      <c r="G428" s="4" t="n">
        <v>352.76</v>
      </c>
    </row>
    <row r="429">
      <c r="A429" s="6" t="inlineStr">
        <is>
          <t>26002 - GARAJE MURCIA</t>
        </is>
      </c>
      <c r="B429" s="6" t="inlineStr">
        <is>
          <t>852</t>
        </is>
      </c>
      <c r="C429" s="6" t="inlineStr">
        <is>
          <t>19/02/2026</t>
        </is>
      </c>
      <c r="D429" s="6" t="inlineStr">
        <is>
          <t>LEROY MERLIN (DUPLICADO PRESUPUESTO 601689) FOTO EN DOCUMENTOS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352.76</v>
      </c>
    </row>
    <row r="430">
      <c r="A430" s="6" t="inlineStr">
        <is>
          <t>26003 - BARINAS</t>
        </is>
      </c>
      <c r="B430" s="6" t="inlineStr">
        <is>
          <t>880</t>
        </is>
      </c>
      <c r="C430" s="6" t="inlineStr">
        <is>
          <t>23/02/2026</t>
        </is>
      </c>
      <c r="D430" s="6" t="inlineStr">
        <is>
          <t>LEROY MERLIN (PRESUPUESTO 607424-1)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4242.79</v>
      </c>
    </row>
    <row r="431">
      <c r="A431" s="6" t="inlineStr">
        <is>
          <t>26003 - BARINAS</t>
        </is>
      </c>
      <c r="B431" s="6" t="inlineStr">
        <is>
          <t>893</t>
        </is>
      </c>
      <c r="C431" s="6" t="inlineStr">
        <is>
          <t>02/03/2026</t>
        </is>
      </c>
      <c r="D431" s="6" t="inlineStr">
        <is>
          <t>TABLERO TEJADO VISTO Y RASTRELES</t>
        </is>
      </c>
      <c r="E431" s="6" t="inlineStr">
        <is>
          <t>MADERAS RIO SEGURA ALQUILERES SL</t>
        </is>
      </c>
      <c r="F431" s="6" t="inlineStr">
        <is>
          <t>IMPUTADO</t>
        </is>
      </c>
      <c r="G431" s="4" t="n">
        <v>3207.63</v>
      </c>
    </row>
    <row r="432">
      <c r="A432" s="6" t="inlineStr">
        <is>
          <t>26003 - BARINAS</t>
        </is>
      </c>
      <c r="B432" s="6" t="inlineStr">
        <is>
          <t>881</t>
        </is>
      </c>
      <c r="C432" s="6" t="inlineStr">
        <is>
          <t>23/02/2026</t>
        </is>
      </c>
      <c r="D432" s="6" t="inlineStr">
        <is>
          <t>LEROY MERLIN (PRESUPUESTO 607424-2)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1497.32</v>
      </c>
    </row>
    <row r="433">
      <c r="A433" s="6" t="inlineStr">
        <is>
          <t>26003 - BARINAS</t>
        </is>
      </c>
      <c r="B433" s="6" t="inlineStr">
        <is>
          <t>1.518,00</t>
        </is>
      </c>
      <c r="C433" s="6" t="inlineStr">
        <is>
          <t>30/04/2026</t>
        </is>
      </c>
      <c r="D433" s="6" t="inlineStr">
        <is>
          <t>FERRALLA PISCINA</t>
        </is>
      </c>
      <c r="E433" s="6" t="inlineStr">
        <is>
          <t>FERRALLAS MONFORTE DEL CID SL.</t>
        </is>
      </c>
      <c r="F433" s="6" t="inlineStr">
        <is>
          <t>IMPUTADO</t>
        </is>
      </c>
      <c r="G433" s="4" t="n">
        <v>1433.9</v>
      </c>
    </row>
    <row r="434">
      <c r="A434" s="6" t="inlineStr">
        <is>
          <t>26003 - BARINAS</t>
        </is>
      </c>
      <c r="B434" s="6" t="inlineStr">
        <is>
          <t>1.281,00</t>
        </is>
      </c>
      <c r="C434" s="6" t="inlineStr">
        <is>
          <t>23/04/2026</t>
        </is>
      </c>
      <c r="D434" s="6" t="inlineStr">
        <is>
          <t>PRESUPUESTO N.º 617768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756.1799999999999</v>
      </c>
    </row>
    <row r="435">
      <c r="A435" s="6" t="inlineStr">
        <is>
          <t>26003 - BARINAS</t>
        </is>
      </c>
      <c r="B435" s="6" t="inlineStr">
        <is>
          <t>1.243,00</t>
        </is>
      </c>
      <c r="C435" s="6" t="inlineStr">
        <is>
          <t>09/04/2026</t>
        </is>
      </c>
      <c r="D435" s="6" t="inlineStr">
        <is>
          <t>PRESUPUESTO Nº 615230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474.73</v>
      </c>
    </row>
    <row r="436">
      <c r="A436" s="6" t="inlineStr">
        <is>
          <t>26003 - BARINAS</t>
        </is>
      </c>
      <c r="B436" s="6" t="inlineStr">
        <is>
          <t>1.487,00</t>
        </is>
      </c>
      <c r="C436" s="6" t="inlineStr">
        <is>
          <t>21/04/2026</t>
        </is>
      </c>
      <c r="D436" s="6" t="inlineStr">
        <is>
          <t>GRUA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390</v>
      </c>
    </row>
    <row r="437">
      <c r="A437" s="6" t="inlineStr">
        <is>
          <t>26003 - BARINAS</t>
        </is>
      </c>
      <c r="B437" s="6" t="inlineStr">
        <is>
          <t>1.261,00</t>
        </is>
      </c>
      <c r="C437" s="6" t="inlineStr">
        <is>
          <t>10/04/2026</t>
        </is>
      </c>
      <c r="D437" s="6" t="inlineStr">
        <is>
          <t>TEJA BLANCA</t>
        </is>
      </c>
      <c r="E437" s="6" t="inlineStr">
        <is>
          <t>MATERIALES DE CONSTRUCCION ALIAGA SL</t>
        </is>
      </c>
      <c r="F437" s="6" t="inlineStr">
        <is>
          <t>IMPUTADO</t>
        </is>
      </c>
      <c r="G437" s="4" t="n">
        <v>299.5</v>
      </c>
    </row>
    <row r="438">
      <c r="A438" s="6" t="inlineStr">
        <is>
          <t>26003 - BARINAS</t>
        </is>
      </c>
      <c r="B438" s="6" t="inlineStr">
        <is>
          <t>1.519,00</t>
        </is>
      </c>
      <c r="C438" s="6" t="inlineStr">
        <is>
          <t>30/04/2026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292.5</v>
      </c>
    </row>
    <row r="439">
      <c r="A439" s="6" t="inlineStr">
        <is>
          <t>26003 - BARINAS</t>
        </is>
      </c>
      <c r="B439" s="6" t="inlineStr">
        <is>
          <t>1.182,00</t>
        </is>
      </c>
      <c r="C439" s="6" t="inlineStr">
        <is>
          <t>18/03/2026</t>
        </is>
      </c>
      <c r="D439" s="6" t="inlineStr">
        <is>
          <t>COLA CONTACTO - DISOLVENTE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279.83</v>
      </c>
    </row>
    <row r="440">
      <c r="A440" s="6" t="inlineStr">
        <is>
          <t>26003 - BARINAS</t>
        </is>
      </c>
      <c r="B440" s="6" t="inlineStr">
        <is>
          <t>1.203,00</t>
        </is>
      </c>
      <c r="C440" s="6" t="inlineStr">
        <is>
          <t>26/03/2026</t>
        </is>
      </c>
      <c r="D440" s="6" t="inlineStr">
        <is>
          <t>COLA AISLAMIENTO - COLA CONTACTO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251.87</v>
      </c>
    </row>
    <row r="441">
      <c r="A441" s="6" t="inlineStr">
        <is>
          <t>26003 - BARINAS</t>
        </is>
      </c>
      <c r="B441" s="6" t="inlineStr">
        <is>
          <t>1.266,00</t>
        </is>
      </c>
      <c r="C441" s="6" t="inlineStr">
        <is>
          <t>08/04/2026</t>
        </is>
      </c>
      <c r="D441" s="6" t="inlineStr">
        <is>
          <t>RASTREL #montar tejado</t>
        </is>
      </c>
      <c r="E441" s="6" t="inlineStr">
        <is>
          <t>MADERAS RIO SEGURA ALQUILERES SL</t>
        </is>
      </c>
      <c r="F441" s="6" t="inlineStr">
        <is>
          <t>IMPUTADO</t>
        </is>
      </c>
      <c r="G441" s="4" t="n">
        <v>248.4</v>
      </c>
    </row>
    <row r="442">
      <c r="A442" s="6" t="inlineStr">
        <is>
          <t>26003 - BARINAS</t>
        </is>
      </c>
      <c r="B442" s="6" t="inlineStr">
        <is>
          <t>1.188,00</t>
        </is>
      </c>
      <c r="C442" s="6" t="inlineStr">
        <is>
          <t>02/03/2026</t>
        </is>
      </c>
      <c r="D442" s="6" t="inlineStr">
        <is>
          <t>MATERIAL OBRA</t>
        </is>
      </c>
      <c r="E442" s="6" t="inlineStr">
        <is>
          <t>CONSYDECOR SL</t>
        </is>
      </c>
      <c r="F442" s="6" t="inlineStr">
        <is>
          <t>IMPUTADO</t>
        </is>
      </c>
      <c r="G442" s="4" t="n">
        <v>156.36</v>
      </c>
    </row>
    <row r="443">
      <c r="A443" s="6" t="inlineStr">
        <is>
          <t>26003 - BARINAS</t>
        </is>
      </c>
      <c r="B443" s="6" t="inlineStr">
        <is>
          <t>892</t>
        </is>
      </c>
      <c r="C443" s="6" t="inlineStr">
        <is>
          <t>02/03/2026</t>
        </is>
      </c>
      <c r="D443" s="6" t="inlineStr">
        <is>
          <t>TABLONES TEJADO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127.8</v>
      </c>
    </row>
    <row r="444">
      <c r="A444" s="6" t="inlineStr">
        <is>
          <t>26003 - BARINAS</t>
        </is>
      </c>
      <c r="B444" s="6" t="inlineStr">
        <is>
          <t>1.246,00</t>
        </is>
      </c>
      <c r="C444" s="6" t="inlineStr">
        <is>
          <t>31/03/2026</t>
        </is>
      </c>
      <c r="D444" s="6" t="inlineStr">
        <is>
          <t>COLA TABLERO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84.3</v>
      </c>
    </row>
    <row r="445">
      <c r="A445" s="6" t="inlineStr">
        <is>
          <t>26003 - BARINAS</t>
        </is>
      </c>
      <c r="B445" s="6" t="inlineStr">
        <is>
          <t>1.260,00</t>
        </is>
      </c>
      <c r="C445" s="6" t="inlineStr">
        <is>
          <t>10/04/2026</t>
        </is>
      </c>
      <c r="D445" s="6" t="inlineStr">
        <is>
          <t>RASTREL #montaje tejado</t>
        </is>
      </c>
      <c r="E445" s="6" t="inlineStr">
        <is>
          <t>MADERAS RIO SEGURA ALQUILERES SL</t>
        </is>
      </c>
      <c r="F445" s="6" t="inlineStr">
        <is>
          <t>IMPUTADO</t>
        </is>
      </c>
      <c r="G445" s="4" t="n">
        <v>49.68</v>
      </c>
    </row>
    <row r="446">
      <c r="A446" s="6" t="inlineStr">
        <is>
          <t>26003 - BARINAS</t>
        </is>
      </c>
      <c r="B446" s="6" t="inlineStr">
        <is>
          <t>1.205,00</t>
        </is>
      </c>
      <c r="C446" s="6" t="inlineStr">
        <is>
          <t>25/03/2026</t>
        </is>
      </c>
      <c r="D446" s="6" t="inlineStr">
        <is>
          <t>MATERIAL OBRA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36.69</v>
      </c>
    </row>
    <row r="447">
      <c r="A447" s="6" t="inlineStr">
        <is>
          <t>26003 - BARINAS</t>
        </is>
      </c>
      <c r="B447" s="6" t="inlineStr">
        <is>
          <t>1.183,00</t>
        </is>
      </c>
      <c r="C447" s="6" t="inlineStr">
        <is>
          <t>18/03/2026</t>
        </is>
      </c>
      <c r="D447" s="6" t="inlineStr">
        <is>
          <t>MATERIAL OBRA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34.73</v>
      </c>
    </row>
    <row r="448">
      <c r="A448" s="6" t="inlineStr">
        <is>
          <t>26003 - BARINAS</t>
        </is>
      </c>
      <c r="B448" s="6" t="inlineStr">
        <is>
          <t>1.265,00</t>
        </is>
      </c>
      <c r="C448" s="6" t="inlineStr">
        <is>
          <t>09/04/2026</t>
        </is>
      </c>
      <c r="D448" s="6" t="inlineStr">
        <is>
          <t>TORNILLERIA #montar tejado</t>
        </is>
      </c>
      <c r="E448" s="6" t="inlineStr">
        <is>
          <t>ESTABLECIMIENTOS DEMETRIO SL</t>
        </is>
      </c>
      <c r="F448" s="6" t="inlineStr">
        <is>
          <t>IMPUTADO</t>
        </is>
      </c>
      <c r="G448" s="4" t="n">
        <v>25.14</v>
      </c>
    </row>
    <row r="449">
      <c r="A449" s="6" t="inlineStr">
        <is>
          <t>26006 - OBRA PADRE TRINI</t>
        </is>
      </c>
      <c r="B449" s="6" t="inlineStr">
        <is>
          <t>1.153,00</t>
        </is>
      </c>
      <c r="C449" s="6" t="inlineStr">
        <is>
          <t>11/03/2026</t>
        </is>
      </c>
      <c r="D449" s="6" t="inlineStr">
        <is>
          <t>PLATO ROCA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263.39</v>
      </c>
    </row>
    <row r="450">
      <c r="A450" s="6" t="inlineStr">
        <is>
          <t>26006 - OBRA PADRE TRINI</t>
        </is>
      </c>
      <c r="B450" s="6" t="inlineStr">
        <is>
          <t>1.186,00</t>
        </is>
      </c>
      <c r="C450" s="6" t="inlineStr">
        <is>
          <t>12/03/2026</t>
        </is>
      </c>
      <c r="D450" s="6" t="inlineStr">
        <is>
          <t>MATERIALES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15.83</v>
      </c>
    </row>
    <row r="451">
      <c r="A451" s="6" t="inlineStr">
        <is>
          <t>26006 - OBRA PADRE TRINI</t>
        </is>
      </c>
      <c r="B451" s="6" t="inlineStr">
        <is>
          <t>1.154,00</t>
        </is>
      </c>
      <c r="C451" s="6" t="inlineStr">
        <is>
          <t>11/03/2026</t>
        </is>
      </c>
      <c r="D451" s="6" t="inlineStr">
        <is>
          <t>YESO Y ARENA</t>
        </is>
      </c>
      <c r="E451" s="6" t="inlineStr">
        <is>
          <t>BRICOLAJE BRICOMAN SLU</t>
        </is>
      </c>
      <c r="F451" s="6" t="inlineStr">
        <is>
          <t>IMPUTADO</t>
        </is>
      </c>
      <c r="G451" s="4" t="n">
        <v>9.65</v>
      </c>
    </row>
    <row r="452">
      <c r="A452" s="6" t="inlineStr">
        <is>
          <t>26006 - OBRA PADRE TRINI</t>
        </is>
      </c>
      <c r="B452" s="6" t="inlineStr">
        <is>
          <t>1.185,00</t>
        </is>
      </c>
      <c r="C452" s="6" t="inlineStr">
        <is>
          <t>13/03/2026</t>
        </is>
      </c>
      <c r="D452" s="6" t="inlineStr">
        <is>
          <t>MORCEM COLOR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7.12</v>
      </c>
    </row>
    <row r="453">
      <c r="A453" s="6" t="inlineStr">
        <is>
          <t>26006 - OBRA PADRE TRINI</t>
        </is>
      </c>
      <c r="B453" s="6" t="inlineStr">
        <is>
          <t>1.152,00</t>
        </is>
      </c>
      <c r="C453" s="6" t="inlineStr">
        <is>
          <t>11/03/2026</t>
        </is>
      </c>
      <c r="D453" s="6" t="inlineStr">
        <is>
          <t>YESO BASTO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2.33</v>
      </c>
    </row>
    <row r="454">
      <c r="A454" s="6" t="inlineStr">
        <is>
          <t>26007 - OBRA HELENA Y JACOBO</t>
        </is>
      </c>
      <c r="B454" s="6" t="inlineStr">
        <is>
          <t>1.901,00</t>
        </is>
      </c>
      <c r="C454" s="6" t="inlineStr">
        <is>
          <t>31/08/2026</t>
        </is>
      </c>
      <c r="D454" s="6" t="inlineStr">
        <is>
          <t>REBAJE SOLAR</t>
        </is>
      </c>
      <c r="E454" s="6" t="inlineStr">
        <is>
          <t>CONTENEDORES Y EXCAVACIONES ASPE SL.</t>
        </is>
      </c>
      <c r="F454" s="6" t="inlineStr">
        <is>
          <t>IMPUTADO</t>
        </is>
      </c>
      <c r="G454" s="4" t="n">
        <v>2270</v>
      </c>
    </row>
    <row r="455">
      <c r="A455" s="6" t="inlineStr">
        <is>
          <t>26008 - OBRA ALBERTO Y EVA - C/ RIO SEGURA, 4. SAN VICENTE DEL RASPEIG</t>
        </is>
      </c>
      <c r="B455" s="6" t="inlineStr">
        <is>
          <t>1.917,00</t>
        </is>
      </c>
      <c r="C455" s="6" t="inlineStr">
        <is>
          <t>31/08/2026</t>
        </is>
      </c>
      <c r="D455" s="6" t="inlineStr">
        <is>
          <t>BOLSA/PALETINA/TACO/RESINA</t>
        </is>
      </c>
      <c r="E455" s="6" t="inlineStr">
        <is>
          <t>HIJOS DE JOSE BUSQUIER SL</t>
        </is>
      </c>
      <c r="F455" s="6" t="inlineStr">
        <is>
          <t>SIN IMPUTAR</t>
        </is>
      </c>
      <c r="G455" s="4" t="n">
        <v>57.21</v>
      </c>
    </row>
    <row r="456">
      <c r="A456" s="6" t="inlineStr">
        <is>
          <t>26009 - OBRA CALLE CARTAGENA, MURCIA</t>
        </is>
      </c>
      <c r="B456" s="6" t="inlineStr">
        <is>
          <t>1.906,00</t>
        </is>
      </c>
      <c r="C456" s="6" t="inlineStr">
        <is>
          <t>04/09/2026</t>
        </is>
      </c>
      <c r="D456" s="6" t="inlineStr">
        <is>
          <t>PREINSTALACION AIRE ACONDICIONADO SPLIT PARED</t>
        </is>
      </c>
      <c r="E456" s="6" t="inlineStr">
        <is>
          <t>GOCLIMA FRIO Y CALOR SL</t>
        </is>
      </c>
      <c r="F456" s="6" t="inlineStr">
        <is>
          <t>SIN IMPUTAR</t>
        </is>
      </c>
      <c r="G456" s="4" t="n">
        <v>1140</v>
      </c>
    </row>
    <row r="457">
      <c r="A457" s="6" t="inlineStr">
        <is>
          <t>26009 - OBRA CALLE CARTAGENA, MURCIA</t>
        </is>
      </c>
      <c r="B457" s="6" t="inlineStr">
        <is>
          <t>1.821,00</t>
        </is>
      </c>
      <c r="C457" s="6" t="inlineStr">
        <is>
          <t>15/07/2026</t>
        </is>
      </c>
      <c r="D457" s="6" t="inlineStr">
        <is>
          <t>ELECTRICIDAD</t>
        </is>
      </c>
      <c r="E457" s="6" t="inlineStr"/>
      <c r="F457" s="6" t="inlineStr">
        <is>
          <t>IMPUTADO</t>
        </is>
      </c>
      <c r="G457" s="4" t="n">
        <v>956.5</v>
      </c>
    </row>
    <row r="458">
      <c r="A458" s="6" t="inlineStr">
        <is>
          <t>26009 - OBRA CALLE CARTAGENA, MURCIA</t>
        </is>
      </c>
      <c r="B458" s="6" t="inlineStr">
        <is>
          <t>1.872,00</t>
        </is>
      </c>
      <c r="C458" s="6" t="inlineStr">
        <is>
          <t>25/08/2026</t>
        </is>
      </c>
      <c r="D458" s="6" t="inlineStr">
        <is>
          <t>PRESUPUESTO 641758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947.6</v>
      </c>
    </row>
    <row r="459">
      <c r="A459" s="6" t="inlineStr">
        <is>
          <t>26009 - OBRA CALLE CARTAGENA, MURCIA</t>
        </is>
      </c>
      <c r="B459" s="6" t="inlineStr">
        <is>
          <t>1.820,00</t>
        </is>
      </c>
      <c r="C459" s="6" t="inlineStr">
        <is>
          <t>16/07/2026</t>
        </is>
      </c>
      <c r="D459" s="6" t="inlineStr">
        <is>
          <t>FONTANERÍA</t>
        </is>
      </c>
      <c r="E459" s="6" t="inlineStr">
        <is>
          <t>FONTAFIX EAR</t>
        </is>
      </c>
      <c r="F459" s="6" t="inlineStr">
        <is>
          <t>IMPUTADO</t>
        </is>
      </c>
      <c r="G459" s="4" t="n">
        <v>877.25</v>
      </c>
    </row>
    <row r="460">
      <c r="A460" s="6" t="inlineStr">
        <is>
          <t>26009 - OBRA CALLE CARTAGENA, MURCIA</t>
        </is>
      </c>
      <c r="B460" s="6" t="inlineStr">
        <is>
          <t>1.916,00</t>
        </is>
      </c>
      <c r="C460" s="6" t="inlineStr">
        <is>
          <t>31/08/2026</t>
        </is>
      </c>
      <c r="D460" s="6" t="inlineStr">
        <is>
          <t>CONTENEDORES</t>
        </is>
      </c>
      <c r="E460" s="6" t="inlineStr">
        <is>
          <t>CONTENEDORES REUNIDOS SL</t>
        </is>
      </c>
      <c r="F460" s="6" t="inlineStr">
        <is>
          <t>IMPUTADO</t>
        </is>
      </c>
      <c r="G460" s="4" t="n">
        <v>290</v>
      </c>
    </row>
    <row r="461">
      <c r="A461" s="6" t="inlineStr">
        <is>
          <t>26009 - OBRA CALLE CARTAGENA, MURCIA</t>
        </is>
      </c>
      <c r="B461" s="6" t="inlineStr">
        <is>
          <t>1.905,00</t>
        </is>
      </c>
      <c r="C461" s="6" t="inlineStr">
        <is>
          <t>26/08/2026</t>
        </is>
      </c>
      <c r="D461" s="6" t="inlineStr">
        <is>
          <t>CEMENTO/PASTA AGARRE/ARENA/YESO/MORTERO HIDROFUGO</t>
        </is>
      </c>
      <c r="E461" s="6" t="inlineStr">
        <is>
          <t>BRICOLAJE BRICOMAN SLU</t>
        </is>
      </c>
      <c r="F461" s="6" t="inlineStr">
        <is>
          <t>SIN IMPUTAR</t>
        </is>
      </c>
      <c r="G461" s="4" t="n">
        <v>188.96</v>
      </c>
    </row>
    <row r="462">
      <c r="A462" s="6" t="inlineStr">
        <is>
          <t>26009 - OBRA CALLE CARTAGENA, MURCIA</t>
        </is>
      </c>
      <c r="B462" s="6" t="inlineStr">
        <is>
          <t>1.900,00</t>
        </is>
      </c>
      <c r="C462" s="6" t="inlineStr">
        <is>
          <t>02/09/2026</t>
        </is>
      </c>
      <c r="D462" s="6" t="inlineStr">
        <is>
          <t>PASTA JUNTA/TRAMPILLA/CINTA YESO/CEPILLO</t>
        </is>
      </c>
      <c r="E462" s="6" t="inlineStr">
        <is>
          <t>BRICOLAJE BRICOMAN SLU</t>
        </is>
      </c>
      <c r="F462" s="6" t="inlineStr">
        <is>
          <t>SIN IMPUTAR</t>
        </is>
      </c>
      <c r="G462" s="4" t="n">
        <v>157.36</v>
      </c>
    </row>
    <row r="463">
      <c r="A463" s="6" t="inlineStr">
        <is>
          <t>26009 - OBRA CALLE CARTAGENA, MURCIA</t>
        </is>
      </c>
      <c r="B463" s="6" t="inlineStr">
        <is>
          <t>1.921,00</t>
        </is>
      </c>
      <c r="C463" s="6" t="inlineStr">
        <is>
          <t>26/08/2026</t>
        </is>
      </c>
      <c r="D463" s="6" t="inlineStr">
        <is>
          <t>DISCO CORTE/GUANTE/ZAPATO/PALETINA</t>
        </is>
      </c>
      <c r="E463" s="6" t="inlineStr">
        <is>
          <t>BRICOLAJE BRICOMAN SLU</t>
        </is>
      </c>
      <c r="F463" s="6" t="inlineStr">
        <is>
          <t>SIN IMPUTAR</t>
        </is>
      </c>
      <c r="G463" s="4" t="n">
        <v>45.03</v>
      </c>
    </row>
    <row r="464">
      <c r="A464" s="6" t="inlineStr">
        <is>
          <t>26009 - OBRA CALLE CARTAGENA, MURCIA</t>
        </is>
      </c>
      <c r="B464" s="6" t="inlineStr">
        <is>
          <t>1.909,00</t>
        </is>
      </c>
      <c r="C464" s="6" t="inlineStr">
        <is>
          <t>02/09/2026</t>
        </is>
      </c>
      <c r="D464" s="6" t="inlineStr">
        <is>
          <t>PEINE/PLIEGO LIJA/VARILLA</t>
        </is>
      </c>
      <c r="E464" s="6" t="inlineStr">
        <is>
          <t>BRICOLAJE BRICOMAN SLU</t>
        </is>
      </c>
      <c r="F464" s="6" t="inlineStr">
        <is>
          <t>SIN IMPUTAR</t>
        </is>
      </c>
      <c r="G464" s="4" t="n">
        <v>38.6</v>
      </c>
    </row>
    <row r="465">
      <c r="A465" s="6" t="inlineStr">
        <is>
          <t>26009 - OBRA CALLE CARTAGENA, MURCIA</t>
        </is>
      </c>
      <c r="B465" s="6" t="inlineStr">
        <is>
          <t>1.904,00</t>
        </is>
      </c>
      <c r="C465" s="6" t="inlineStr">
        <is>
          <t>26/08/2026</t>
        </is>
      </c>
      <c r="D465" s="6" t="inlineStr">
        <is>
          <t>IMPRIMACION PUENTE UNION</t>
        </is>
      </c>
      <c r="E465" s="6" t="inlineStr">
        <is>
          <t>BRICOLAJE BRICOMAN SLU</t>
        </is>
      </c>
      <c r="F465" s="6" t="inlineStr">
        <is>
          <t>SIN IMPUTAR</t>
        </is>
      </c>
      <c r="G465" s="4" t="n">
        <v>21.03</v>
      </c>
    </row>
    <row r="466">
      <c r="A466" s="6" t="inlineStr">
        <is>
          <t>26009 - OBRA CALLE CARTAGENA, MURCIA</t>
        </is>
      </c>
      <c r="B466" s="6" t="inlineStr">
        <is>
          <t>1.903,00</t>
        </is>
      </c>
      <c r="C466" s="6" t="inlineStr">
        <is>
          <t>28/08/2026</t>
        </is>
      </c>
      <c r="D466" s="6" t="inlineStr">
        <is>
          <t>ESPONJA/HIDROTUBO/TAPON/CODO/ADEHESIVO</t>
        </is>
      </c>
      <c r="E466" s="6" t="inlineStr">
        <is>
          <t>BRICOLAJE BRICOMAN SLU</t>
        </is>
      </c>
      <c r="F466" s="6" t="inlineStr">
        <is>
          <t>SIN IMPUTAR</t>
        </is>
      </c>
      <c r="G466" s="4" t="n">
        <v>7.16</v>
      </c>
    </row>
    <row r="467">
      <c r="A467" s="6" t="inlineStr">
        <is>
          <t>26010 - PROYECTO 4 BASCULAS EN SILOS - Paraje de los Rincones S,N - Poligono 3, parcelas 94 y 113 - Algueña (Alicante)</t>
        </is>
      </c>
      <c r="B467" s="6" t="inlineStr">
        <is>
          <t>1.841,00</t>
        </is>
      </c>
      <c r="C467" s="6" t="inlineStr">
        <is>
          <t>23/07/2026</t>
        </is>
      </c>
      <c r="D467" s="6" t="inlineStr">
        <is>
          <t>SUSCRIPCION NALANDA - GESTION DOCUMENTACION</t>
        </is>
      </c>
      <c r="E467" s="6" t="inlineStr">
        <is>
          <t>NALANDA GLOBAL SA.</t>
        </is>
      </c>
      <c r="F467" s="6" t="inlineStr">
        <is>
          <t>IMPUTADO</t>
        </is>
      </c>
      <c r="G467" s="4" t="n">
        <v>420</v>
      </c>
    </row>
    <row r="468">
      <c r="A468" s="6" t="inlineStr">
        <is>
          <t>26011 - CASTILLO DE ELDA</t>
        </is>
      </c>
      <c r="B468" s="6" t="inlineStr">
        <is>
          <t>1.829,00</t>
        </is>
      </c>
      <c r="C468" s="6" t="inlineStr">
        <is>
          <t>17/07/2026</t>
        </is>
      </c>
      <c r="D468" s="6" t="inlineStr">
        <is>
          <t>HIERRO CIMENTACION Y MUROS</t>
        </is>
      </c>
      <c r="E468" s="6" t="inlineStr">
        <is>
          <t>FERRALLAS MONFORTE DEL CID SL.</t>
        </is>
      </c>
      <c r="F468" s="6" t="inlineStr">
        <is>
          <t>IMPUTADO</t>
        </is>
      </c>
      <c r="G468" s="4" t="n">
        <v>2433.16</v>
      </c>
    </row>
    <row r="469">
      <c r="A469" s="6" t="inlineStr">
        <is>
          <t>26011 - CASTILLO DE ELDA</t>
        </is>
      </c>
      <c r="B469" s="6" t="inlineStr">
        <is>
          <t>1.895,00</t>
        </is>
      </c>
      <c r="C469" s="6" t="inlineStr">
        <is>
          <t>31/07/2026</t>
        </is>
      </c>
      <c r="D469" s="6" t="inlineStr">
        <is>
          <t>HORMIGON</t>
        </is>
      </c>
      <c r="E469" s="6" t="inlineStr">
        <is>
          <t>HORMIGONES DEL VINALOPO SA</t>
        </is>
      </c>
      <c r="F469" s="6" t="inlineStr">
        <is>
          <t>IMPUTADO</t>
        </is>
      </c>
      <c r="G469" s="4" t="n">
        <v>2401.76</v>
      </c>
    </row>
    <row r="470">
      <c r="A470" s="6" t="inlineStr">
        <is>
          <t>26011 - CASTILLO DE ELDA</t>
        </is>
      </c>
      <c r="B470" s="6" t="inlineStr">
        <is>
          <t>1.907,00</t>
        </is>
      </c>
      <c r="C470" s="6" t="inlineStr">
        <is>
          <t>04/09/2026</t>
        </is>
      </c>
      <c r="D470" s="6" t="inlineStr">
        <is>
          <t>FERRALLA/HIERRO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1680.28</v>
      </c>
    </row>
    <row r="471">
      <c r="A471" s="6" t="inlineStr">
        <is>
          <t>26011 - CASTILLO DE ELDA</t>
        </is>
      </c>
      <c r="B471" s="6" t="inlineStr">
        <is>
          <t>1.843,00</t>
        </is>
      </c>
      <c r="C471" s="6" t="inlineStr">
        <is>
          <t>21/07/2026</t>
        </is>
      </c>
      <c r="D471" s="6" t="inlineStr">
        <is>
          <t>HORMIGÓN CIMENTACION</t>
        </is>
      </c>
      <c r="E471" s="6" t="inlineStr">
        <is>
          <t>SEBASTIAN NAVARRO SL</t>
        </is>
      </c>
      <c r="F471" s="6" t="inlineStr">
        <is>
          <t>IMPUTADO</t>
        </is>
      </c>
      <c r="G471" s="4" t="n">
        <v>1560</v>
      </c>
    </row>
    <row r="472">
      <c r="A472" s="6" t="inlineStr">
        <is>
          <t>26011 - CASTILLO DE ELDA</t>
        </is>
      </c>
      <c r="B472" s="6" t="inlineStr">
        <is>
          <t>1.877,00</t>
        </is>
      </c>
      <c r="C472" s="6" t="inlineStr">
        <is>
          <t>31/07/2026</t>
        </is>
      </c>
      <c r="D472" s="6" t="inlineStr">
        <is>
          <t>GRUA</t>
        </is>
      </c>
      <c r="E472" s="6" t="inlineStr">
        <is>
          <t>GRUAS ILICITANAS SL.</t>
        </is>
      </c>
      <c r="F472" s="6" t="inlineStr">
        <is>
          <t>IMPUTADO</t>
        </is>
      </c>
      <c r="G472" s="4" t="n">
        <v>1550.25</v>
      </c>
    </row>
    <row r="473">
      <c r="A473" s="6" t="inlineStr">
        <is>
          <t>26011 - CASTILLO DE ELDA</t>
        </is>
      </c>
      <c r="B473" s="6" t="inlineStr">
        <is>
          <t>1.893,00</t>
        </is>
      </c>
      <c r="C473" s="6" t="inlineStr">
        <is>
          <t>31/07/2026</t>
        </is>
      </c>
      <c r="D473" s="6" t="inlineStr">
        <is>
          <t>GRUA</t>
        </is>
      </c>
      <c r="E473" s="6" t="inlineStr">
        <is>
          <t>GRUAS Y MAQUINARIA PETREL SL</t>
        </is>
      </c>
      <c r="F473" s="6" t="inlineStr">
        <is>
          <t>IMPUTADO</t>
        </is>
      </c>
      <c r="G473" s="4" t="n">
        <v>1365</v>
      </c>
    </row>
    <row r="474">
      <c r="A474" s="6" t="inlineStr">
        <is>
          <t>26011 - CASTILLO DE ELDA</t>
        </is>
      </c>
      <c r="B474" s="6" t="inlineStr">
        <is>
          <t>1.865,00</t>
        </is>
      </c>
      <c r="C474" s="6" t="inlineStr">
        <is>
          <t>25/08/2026</t>
        </is>
      </c>
      <c r="D474" s="6" t="inlineStr">
        <is>
          <t>PRESUPUESTO 641631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998.6900000000001</v>
      </c>
    </row>
    <row r="475">
      <c r="A475" s="6" t="inlineStr">
        <is>
          <t>26011 - CASTILLO DE ELDA</t>
        </is>
      </c>
      <c r="B475" s="6" t="inlineStr">
        <is>
          <t>1.810,00</t>
        </is>
      </c>
      <c r="C475" s="6" t="inlineStr">
        <is>
          <t>10/07/2026</t>
        </is>
      </c>
      <c r="D475" s="6" t="inlineStr">
        <is>
          <t>HORMIGON LIMPIEZA</t>
        </is>
      </c>
      <c r="E475" s="6" t="inlineStr">
        <is>
          <t>SEBASTIAN NAVARRO SL</t>
        </is>
      </c>
      <c r="F475" s="6" t="inlineStr">
        <is>
          <t>IMPUTADO</t>
        </is>
      </c>
      <c r="G475" s="4" t="n">
        <v>510</v>
      </c>
    </row>
    <row r="476">
      <c r="A476" s="6" t="inlineStr">
        <is>
          <t>26011 - CASTILLO DE ELDA</t>
        </is>
      </c>
      <c r="B476" s="6" t="inlineStr">
        <is>
          <t>1.919,00</t>
        </is>
      </c>
      <c r="C476" s="6" t="inlineStr">
        <is>
          <t>28/08/2026</t>
        </is>
      </c>
      <c r="D476" s="6" t="inlineStr">
        <is>
          <t>CAMION GRUA</t>
        </is>
      </c>
      <c r="E476" s="6" t="inlineStr">
        <is>
          <t>GRUAS ILICITANAS SL.</t>
        </is>
      </c>
      <c r="F476" s="6" t="inlineStr">
        <is>
          <t>IMPUTADO</t>
        </is>
      </c>
      <c r="G476" s="4" t="n">
        <v>500</v>
      </c>
    </row>
    <row r="477">
      <c r="A477" s="6" t="inlineStr">
        <is>
          <t>26011 - CASTILLO DE ELDA</t>
        </is>
      </c>
      <c r="B477" s="6" t="inlineStr">
        <is>
          <t>1.852,00</t>
        </is>
      </c>
      <c r="C477" s="6" t="inlineStr">
        <is>
          <t>27/07/2026</t>
        </is>
      </c>
      <c r="D477" s="6" t="inlineStr">
        <is>
          <t>ELECTRICIDAD CUADRO</t>
        </is>
      </c>
      <c r="E477" s="6" t="inlineStr">
        <is>
          <t>GABRIEL MOYA INSTALACIONES ELECTRICAS SL.</t>
        </is>
      </c>
      <c r="F477" s="6" t="inlineStr">
        <is>
          <t>IMPUTADO</t>
        </is>
      </c>
      <c r="G477" s="4" t="n">
        <v>426</v>
      </c>
    </row>
    <row r="478">
      <c r="A478" s="6" t="inlineStr">
        <is>
          <t>26011 - CASTILLO DE ELDA</t>
        </is>
      </c>
      <c r="B478" s="6" t="inlineStr">
        <is>
          <t>1.912,00</t>
        </is>
      </c>
      <c r="C478" s="6" t="inlineStr">
        <is>
          <t>31/08/2026</t>
        </is>
      </c>
      <c r="D478" s="6" t="inlineStr">
        <is>
          <t>GRUA</t>
        </is>
      </c>
      <c r="E478" s="6" t="inlineStr">
        <is>
          <t>GRUAS Y MAQUINARIA PETREL SL</t>
        </is>
      </c>
      <c r="F478" s="6" t="inlineStr">
        <is>
          <t>IMPUTADO</t>
        </is>
      </c>
      <c r="G478" s="4" t="n">
        <v>325</v>
      </c>
    </row>
    <row r="479">
      <c r="A479" s="6" t="inlineStr">
        <is>
          <t>26011 - CASTILLO DE ELDA</t>
        </is>
      </c>
      <c r="B479" s="6" t="inlineStr">
        <is>
          <t>1.858,00</t>
        </is>
      </c>
      <c r="C479" s="6" t="inlineStr">
        <is>
          <t>23/07/2026</t>
        </is>
      </c>
      <c r="D479" s="6" t="inlineStr">
        <is>
          <t>GRUA</t>
        </is>
      </c>
      <c r="E479" s="6" t="inlineStr">
        <is>
          <t>GRUAS Y MAQUINARIA PETREL SL</t>
        </is>
      </c>
      <c r="F479" s="6" t="inlineStr">
        <is>
          <t>IMPUTADO</t>
        </is>
      </c>
      <c r="G479" s="4" t="n">
        <v>325</v>
      </c>
    </row>
    <row r="480">
      <c r="A480" s="6" t="inlineStr">
        <is>
          <t>26011 - CASTILLO DE ELDA</t>
        </is>
      </c>
      <c r="B480" s="6" t="inlineStr">
        <is>
          <t>1.884,00</t>
        </is>
      </c>
      <c r="C480" s="6" t="inlineStr">
        <is>
          <t>25/08/2026</t>
        </is>
      </c>
      <c r="D480" s="6" t="inlineStr">
        <is>
          <t>TOMA DE MUESTRAS DE HORMIGON FRESCO</t>
        </is>
      </c>
      <c r="E480" s="6" t="inlineStr">
        <is>
          <t>LABORATORIO DE INGENIERIA Y MEDIO AMBIENTE SA.</t>
        </is>
      </c>
      <c r="F480" s="6" t="inlineStr">
        <is>
          <t>IMPUTADO</t>
        </is>
      </c>
      <c r="G480" s="4" t="n">
        <v>100</v>
      </c>
    </row>
    <row r="481">
      <c r="A481" s="6" t="inlineStr">
        <is>
          <t>26011 - CASTILLO DE ELDA</t>
        </is>
      </c>
      <c r="B481" s="6" t="inlineStr">
        <is>
          <t>1.790,00</t>
        </is>
      </c>
      <c r="C481" s="6" t="inlineStr">
        <is>
          <t>08/07/2026</t>
        </is>
      </c>
      <c r="D481" s="6" t="inlineStr">
        <is>
          <t>FILM PE GALGA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92.56</v>
      </c>
    </row>
    <row r="482">
      <c r="A482" s="6" t="inlineStr">
        <is>
          <t>26017 - OBRA MADRE MARIA PEREAMAR</t>
        </is>
      </c>
      <c r="B482" s="6" t="inlineStr">
        <is>
          <t>1.891,00</t>
        </is>
      </c>
      <c r="C482" s="6" t="inlineStr">
        <is>
          <t>31/07/2026</t>
        </is>
      </c>
      <c r="D482" s="6" t="inlineStr">
        <is>
          <t>MATERIAL</t>
        </is>
      </c>
      <c r="E482" s="6" t="inlineStr">
        <is>
          <t>CONSYDECOR SL</t>
        </is>
      </c>
      <c r="F482" s="6" t="inlineStr">
        <is>
          <t>IMPUTADO</t>
        </is>
      </c>
      <c r="G482" s="4" t="n">
        <v>1350.83</v>
      </c>
    </row>
    <row r="483">
      <c r="A483" s="6" t="inlineStr">
        <is>
          <t>26017 - OBRA MADRE MARIA PEREAMAR</t>
        </is>
      </c>
      <c r="B483" s="6" t="inlineStr">
        <is>
          <t>1.828,00</t>
        </is>
      </c>
      <c r="C483" s="6" t="inlineStr">
        <is>
          <t>20/07/2026</t>
        </is>
      </c>
      <c r="D483" s="6" t="inlineStr">
        <is>
          <t>ALQUILER MAQUINARIA (+20%)</t>
        </is>
      </c>
      <c r="E483" s="6" t="inlineStr">
        <is>
          <t>GOMARIZ SISTEMAS DE ELEVACION SL</t>
        </is>
      </c>
      <c r="F483" s="6" t="inlineStr">
        <is>
          <t>IMPUTADO</t>
        </is>
      </c>
      <c r="G483" s="4" t="n">
        <v>498.65</v>
      </c>
    </row>
    <row r="484">
      <c r="A484" s="6" t="inlineStr">
        <is>
          <t>26017 - OBRA MADRE MARIA PEREAMAR</t>
        </is>
      </c>
      <c r="B484" s="6" t="inlineStr">
        <is>
          <t>1.914,00</t>
        </is>
      </c>
      <c r="C484" s="6" t="inlineStr">
        <is>
          <t>31/08/2026</t>
        </is>
      </c>
      <c r="D484" s="6" t="inlineStr">
        <is>
          <t>GRUA</t>
        </is>
      </c>
      <c r="E484" s="6" t="inlineStr">
        <is>
          <t>GRUAS Y MAQUINARIA PETREL SL</t>
        </is>
      </c>
      <c r="F484" s="6" t="inlineStr">
        <is>
          <t>IMPUTADO</t>
        </is>
      </c>
      <c r="G484" s="4" t="n">
        <v>455</v>
      </c>
    </row>
    <row r="485">
      <c r="A485" s="6" t="inlineStr">
        <is>
          <t>26017 - OBRA MADRE MARIA PEREAMAR</t>
        </is>
      </c>
      <c r="B485" s="6" t="inlineStr">
        <is>
          <t>1.920,00</t>
        </is>
      </c>
      <c r="C485" s="6" t="inlineStr">
        <is>
          <t>28/08/2026</t>
        </is>
      </c>
      <c r="D485" s="6" t="inlineStr">
        <is>
          <t>PALA EXCAVADORA</t>
        </is>
      </c>
      <c r="E485" s="6" t="inlineStr">
        <is>
          <t>PAULINO TOMAS JUAN</t>
        </is>
      </c>
      <c r="F485" s="6" t="inlineStr">
        <is>
          <t>IMPUTADO</t>
        </is>
      </c>
      <c r="G485" s="4" t="n">
        <v>180</v>
      </c>
    </row>
    <row r="486">
      <c r="A486" s="6" t="inlineStr">
        <is>
          <t>26017 - OBRA MADRE MARIA PEREAMAR</t>
        </is>
      </c>
      <c r="B486" s="6" t="inlineStr">
        <is>
          <t>1.923,00</t>
        </is>
      </c>
      <c r="C486" s="6" t="inlineStr">
        <is>
          <t>05/08/2026</t>
        </is>
      </c>
      <c r="D486" s="6" t="inlineStr">
        <is>
          <t>RODILLO/PALETINA/MONOCAPA/CEMENTO COLA/LLANA</t>
        </is>
      </c>
      <c r="E486" s="6" t="inlineStr">
        <is>
          <t>HIJOS DE JOSE BUSQUIER SL</t>
        </is>
      </c>
      <c r="F486" s="6" t="inlineStr">
        <is>
          <t>IMPUTADO</t>
        </is>
      </c>
      <c r="G486" s="4" t="n">
        <v>178.56</v>
      </c>
    </row>
    <row r="487">
      <c r="A487" s="6" t="inlineStr">
        <is>
          <t>26017 - OBRA MADRE MARIA PEREAMAR</t>
        </is>
      </c>
      <c r="B487" s="6" t="inlineStr">
        <is>
          <t>1.839,00</t>
        </is>
      </c>
      <c r="C487" s="6" t="inlineStr">
        <is>
          <t>15/07/2026</t>
        </is>
      </c>
      <c r="D487" s="6" t="inlineStr">
        <is>
          <t>MATERIAL OBRA</t>
        </is>
      </c>
      <c r="E487" s="6" t="inlineStr">
        <is>
          <t>MATERIALES DE CONSTRUCCION LOS CAPITOS SL.</t>
        </is>
      </c>
      <c r="F487" s="6" t="inlineStr">
        <is>
          <t>IMPUTADO</t>
        </is>
      </c>
      <c r="G487" s="4" t="n">
        <v>104.13</v>
      </c>
    </row>
    <row r="488">
      <c r="A488" s="6" t="inlineStr">
        <is>
          <t>26020 - OBRA CARLA, PINOSO</t>
        </is>
      </c>
      <c r="B488" s="6" t="inlineStr">
        <is>
          <t>1.782,00</t>
        </is>
      </c>
      <c r="C488" s="6" t="inlineStr">
        <is>
          <t>30/06/2026</t>
        </is>
      </c>
      <c r="D488" s="6" t="inlineStr">
        <is>
          <t>MATERIAL OBRA</t>
        </is>
      </c>
      <c r="E488" s="6" t="inlineStr">
        <is>
          <t>MATERIALES DE CONSTRUCCION LOS CAPITOS SL.</t>
        </is>
      </c>
      <c r="F488" s="6" t="inlineStr">
        <is>
          <t>IMPUTADO</t>
        </is>
      </c>
      <c r="G488" s="4" t="n">
        <v>2312.04</v>
      </c>
    </row>
    <row r="489">
      <c r="A489" s="6" t="inlineStr">
        <is>
          <t>26020 - OBRA CARLA, PINOSO</t>
        </is>
      </c>
      <c r="B489" s="6" t="inlineStr">
        <is>
          <t>1.800,00</t>
        </is>
      </c>
      <c r="C489" s="6" t="inlineStr">
        <is>
          <t>30/06/2026</t>
        </is>
      </c>
      <c r="D489" s="6" t="inlineStr">
        <is>
          <t>HORMIGON CIMENTACION</t>
        </is>
      </c>
      <c r="E489" s="6" t="inlineStr">
        <is>
          <t>CANTERAS Y RECICLADOS SL.</t>
        </is>
      </c>
      <c r="F489" s="6" t="inlineStr">
        <is>
          <t>IMPUTADO</t>
        </is>
      </c>
      <c r="G489" s="4" t="n">
        <v>1196.25</v>
      </c>
    </row>
    <row r="490">
      <c r="A490" s="6" t="inlineStr">
        <is>
          <t>26020 - OBRA CARLA, PINOSO</t>
        </is>
      </c>
      <c r="B490" s="6" t="inlineStr">
        <is>
          <t>1.804,00</t>
        </is>
      </c>
      <c r="C490" s="6" t="inlineStr">
        <is>
          <t>30/06/2026</t>
        </is>
      </c>
      <c r="D490" s="6" t="inlineStr">
        <is>
          <t>GRUA</t>
        </is>
      </c>
      <c r="E490" s="6" t="inlineStr">
        <is>
          <t>GRUAS Y MAQUINARIA PETREL SL</t>
        </is>
      </c>
      <c r="F490" s="6" t="inlineStr">
        <is>
          <t>IMPUTADO</t>
        </is>
      </c>
      <c r="G490" s="4" t="n">
        <v>975</v>
      </c>
    </row>
    <row r="491">
      <c r="A491" s="6" t="inlineStr">
        <is>
          <t>26020 - OBRA CARLA, PINOSO</t>
        </is>
      </c>
      <c r="B491" s="6" t="inlineStr">
        <is>
          <t>1.764,00</t>
        </is>
      </c>
      <c r="C491" s="6" t="inlineStr">
        <is>
          <t>26/06/2026</t>
        </is>
      </c>
      <c r="D491" s="6" t="inlineStr">
        <is>
          <t>HIERRO CIMENTACIÓN</t>
        </is>
      </c>
      <c r="E491" s="6" t="inlineStr">
        <is>
          <t>FERRALLAS MONFORTE DEL CID SL.</t>
        </is>
      </c>
      <c r="F491" s="6" t="inlineStr">
        <is>
          <t>IMPUTADO</t>
        </is>
      </c>
      <c r="G491" s="4" t="n">
        <v>441.36</v>
      </c>
    </row>
    <row r="492">
      <c r="A492" s="6" t="inlineStr">
        <is>
          <t>26020 - OBRA CARLA, PINOSO</t>
        </is>
      </c>
      <c r="B492" s="6" t="inlineStr">
        <is>
          <t>1.812,00</t>
        </is>
      </c>
      <c r="C492" s="6" t="inlineStr">
        <is>
          <t>13/07/2026</t>
        </is>
      </c>
      <c r="D492" s="6" t="inlineStr">
        <is>
          <t>PALA PAULINO</t>
        </is>
      </c>
      <c r="E492" s="6" t="inlineStr">
        <is>
          <t>PAULINO TOMAS JUAN</t>
        </is>
      </c>
      <c r="F492" s="6" t="inlineStr">
        <is>
          <t>IMPUTADO</t>
        </is>
      </c>
      <c r="G492" s="4" t="n">
        <v>180</v>
      </c>
    </row>
    <row r="493">
      <c r="A493" s="6" t="inlineStr">
        <is>
          <t>26020 - OBRA CARLA, PINOSO</t>
        </is>
      </c>
      <c r="B493" s="6" t="inlineStr">
        <is>
          <t>1.823,00</t>
        </is>
      </c>
      <c r="C493" s="6" t="inlineStr">
        <is>
          <t>13/07/2026</t>
        </is>
      </c>
      <c r="D493" s="6" t="inlineStr">
        <is>
          <t>GRUA-CAMION</t>
        </is>
      </c>
      <c r="E493" s="6" t="inlineStr">
        <is>
          <t>JOSE LUIS PEREZ JAREÑO</t>
        </is>
      </c>
      <c r="F493" s="6" t="inlineStr">
        <is>
          <t>IMPUTADO</t>
        </is>
      </c>
      <c r="G493" s="4" t="n">
        <v>75</v>
      </c>
    </row>
    <row r="494">
      <c r="A494" s="6" t="inlineStr">
        <is>
          <t>26020 - OBRA CARLA, PINOSO</t>
        </is>
      </c>
      <c r="B494" s="6" t="inlineStr">
        <is>
          <t>1.840,00</t>
        </is>
      </c>
      <c r="C494" s="6" t="inlineStr">
        <is>
          <t>15/07/2026</t>
        </is>
      </c>
      <c r="D494" s="6" t="inlineStr">
        <is>
          <t>MATERIAL OBRA</t>
        </is>
      </c>
      <c r="E494" s="6" t="inlineStr">
        <is>
          <t>MATERIALES DE CONSTRUCCION LOS CAPITOS SL.</t>
        </is>
      </c>
      <c r="F494" s="6" t="inlineStr">
        <is>
          <t>IMPUTADO</t>
        </is>
      </c>
      <c r="G494" s="4" t="n">
        <v>41.9</v>
      </c>
    </row>
    <row r="495">
      <c r="A495" s="6" t="inlineStr">
        <is>
          <t>26020 - OBRA CARLA, PINOSO</t>
        </is>
      </c>
      <c r="B495" s="6" t="inlineStr">
        <is>
          <t>1.759,00</t>
        </is>
      </c>
      <c r="C495" s="6" t="inlineStr">
        <is>
          <t>29/06/2026</t>
        </is>
      </c>
      <c r="D495" s="6" t="inlineStr">
        <is>
          <t>ARENA Y BARDO</t>
        </is>
      </c>
      <c r="E495" s="6" t="inlineStr">
        <is>
          <t>BRICOLAJE BRICOMAN SLU</t>
        </is>
      </c>
      <c r="F495" s="6" t="inlineStr">
        <is>
          <t>IMPUTADO</t>
        </is>
      </c>
      <c r="G495" s="4" t="n">
        <v>30.25</v>
      </c>
    </row>
    <row r="496">
      <c r="A496" s="7" t="inlineStr">
        <is>
          <t>TOTAL FACTURAS POR OBRA</t>
        </is>
      </c>
      <c r="B496" s="7" t="n"/>
      <c r="C496" s="7" t="n"/>
      <c r="D496" s="7" t="n"/>
      <c r="E496" s="7" t="n"/>
      <c r="F496" s="7" t="n"/>
      <c r="G496" s="8">
        <f>SUM(G4:G495)</f>
        <v/>
      </c>
    </row>
  </sheetData>
  <autoFilter ref="A3:G49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2026-09-22T16:08:02Z</dcterms:created>
  <dcterms:modified xmlns:dcterms="http://purl.org/dc/terms/" xmlns:xsi="http://www.w3.org/2001/XMLSchema-instance" xsi:type="dcterms:W3CDTF">2026-09-22T16:08:02Z</dcterms:modified>
</cp:coreProperties>
</file>