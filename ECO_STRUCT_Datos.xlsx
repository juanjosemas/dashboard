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ertificaciones" sheetId="2" state="visible" r:id="rId2"/>
    <sheet xmlns:r="http://schemas.openxmlformats.org/officeDocument/2006/relationships" name="Gastos Generales" sheetId="3" state="visible" r:id="rId3"/>
    <sheet xmlns:r="http://schemas.openxmlformats.org/officeDocument/2006/relationships" name="Vehiculos" sheetId="4" state="visible" r:id="rId4"/>
    <sheet xmlns:r="http://schemas.openxmlformats.org/officeDocument/2006/relationships" name="Mano de Obra" sheetId="5" state="visible" r:id="rId5"/>
    <sheet xmlns:r="http://schemas.openxmlformats.org/officeDocument/2006/relationships" name="Gastos por Proyecto" sheetId="6" state="visible" r:id="rId6"/>
    <sheet xmlns:r="http://schemas.openxmlformats.org/officeDocument/2006/relationships" name="Facturas por Obra" sheetId="7" state="visible" r:id="rId7"/>
    <sheet xmlns:r="http://schemas.openxmlformats.org/officeDocument/2006/relationships" name="Prorrateo" sheetId="8" state="visible" r:id="rId8"/>
  </sheets>
  <definedNames>
    <definedName name="_xlnm._FilterDatabase" localSheetId="6" hidden="1">'Facturas por Obra'!$A$3:$G$581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A1A2E"/>
      <sz val="14"/>
    </font>
    <font>
      <name val="Calibri"/>
      <b val="1"/>
      <color rgb="00FFFFFF"/>
      <sz val="11"/>
    </font>
    <font>
      <name val="Calibri"/>
      <b val="1"/>
      <sz val="11"/>
    </font>
    <font>
      <b val="1"/>
      <color rgb="000F3460"/>
    </font>
    <font>
      <i val="1"/>
      <color rgb="00666666"/>
      <sz val="10"/>
    </font>
    <font>
      <b val="1"/>
    </font>
    <font>
      <b val="1"/>
      <color rgb="00B03A2E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ECF4"/>
        <bgColor rgb="00E8EC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4" fontId="0" fillId="0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7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2" customWidth="1" min="3" max="3"/>
    <col width="22" customWidth="1" min="4" max="4"/>
    <col width="22" customWidth="1" min="5" max="5"/>
    <col width="18" customWidth="1" min="6" max="6"/>
    <col width="20" customWidth="1" min="7" max="7"/>
    <col width="18" customWidth="1" min="8" max="8"/>
    <col width="16" customWidth="1" min="9" max="9"/>
  </cols>
  <sheetData>
    <row r="1">
      <c r="A1" s="1" t="inlineStr">
        <is>
          <t>RESUMEN FINANCIERO ECO STRUCT</t>
        </is>
      </c>
    </row>
    <row r="3">
      <c r="A3" s="2" t="inlineStr">
        <is>
          <t>DATOS GENERALES</t>
        </is>
      </c>
    </row>
    <row r="4">
      <c r="A4" s="3" t="inlineStr">
        <is>
          <t>Total Certificaciones:</t>
        </is>
      </c>
      <c r="B4" s="4">
        <f>'Certificaciones'!C27</f>
        <v/>
      </c>
    </row>
    <row r="5">
      <c r="A5" s="3" t="inlineStr">
        <is>
          <t>Total Gastos Generales:</t>
        </is>
      </c>
      <c r="B5" s="4">
        <f>'Gastos Generales'!E305</f>
        <v/>
      </c>
    </row>
    <row r="6">
      <c r="A6" s="3" t="inlineStr">
        <is>
          <t>Total Vehiculos:</t>
        </is>
      </c>
      <c r="B6" s="4">
        <f>'Vehiculos'!E15</f>
        <v/>
      </c>
    </row>
    <row r="7">
      <c r="A7" s="3" t="inlineStr">
        <is>
          <t>Total Gastos Comunes:</t>
        </is>
      </c>
      <c r="B7" s="4">
        <f>B5+B6</f>
        <v/>
      </c>
    </row>
    <row r="8">
      <c r="A8" s="3" t="inlineStr">
        <is>
          <t>Total Mano de Obra:</t>
        </is>
      </c>
      <c r="B8" s="4">
        <f>'Mano de Obra'!D32</f>
        <v/>
      </c>
    </row>
    <row r="10">
      <c r="A10" s="2" t="inlineStr">
        <is>
          <t>DESGLLOSE POR PROYECTO (con Prorrateo)</t>
        </is>
      </c>
    </row>
    <row r="11">
      <c r="A11" s="5" t="inlineStr">
        <is>
          <t>Proyecto</t>
        </is>
      </c>
      <c r="B11" s="5" t="inlineStr">
        <is>
          <t>Certificacion (EUR)</t>
        </is>
      </c>
      <c r="C11" s="5" t="inlineStr">
        <is>
          <t>% Certif.</t>
        </is>
      </c>
      <c r="D11" s="5" t="inlineStr">
        <is>
          <t>Gastos Prorrateados (EUR)</t>
        </is>
      </c>
      <c r="E11" s="5" t="inlineStr">
        <is>
          <t>Gastos Directos (EUR)</t>
        </is>
      </c>
      <c r="F11" s="5" t="inlineStr">
        <is>
          <t>Mano de Obra (EUR)</t>
        </is>
      </c>
      <c r="G11" s="5" t="inlineStr">
        <is>
          <t>TOTAL COSTE (EUR)</t>
        </is>
      </c>
      <c r="H11" s="5" t="inlineStr">
        <is>
          <t>Margen (EUR)</t>
        </is>
      </c>
      <c r="I11" s="5" t="inlineStr">
        <is>
          <t>% Coste/Certif.</t>
        </is>
      </c>
    </row>
    <row r="12">
      <c r="A12" s="6">
        <f>'Certificaciones'!B4</f>
        <v/>
      </c>
      <c r="B12" s="4">
        <f>'Certificaciones'!C4</f>
        <v/>
      </c>
      <c r="C12" s="6">
        <f>'Certificaciones'!D4</f>
        <v/>
      </c>
      <c r="D12" s="4">
        <f>C12*$B$7</f>
        <v/>
      </c>
      <c r="E12" s="4">
        <f>SUMIF('Gastos por Proyecto'!A:A,A12,'Gastos por Proyecto'!B:B)</f>
        <v/>
      </c>
      <c r="F12" s="4">
        <f>SUMIF('Mano de Obra'!A:A,A12,'Mano de Obra'!D:D)</f>
        <v/>
      </c>
      <c r="G12" s="4">
        <f>D12+E12+F12</f>
        <v/>
      </c>
      <c r="H12" s="4">
        <f>B12-G12</f>
        <v/>
      </c>
      <c r="I12" s="6">
        <f>IF(B12=0,0,G12/B12)</f>
        <v/>
      </c>
    </row>
    <row r="13">
      <c r="A13" s="6">
        <f>'Certificaciones'!B5</f>
        <v/>
      </c>
      <c r="B13" s="4">
        <f>'Certificaciones'!C5</f>
        <v/>
      </c>
      <c r="C13" s="6">
        <f>'Certificaciones'!D5</f>
        <v/>
      </c>
      <c r="D13" s="4">
        <f>C13*$B$7</f>
        <v/>
      </c>
      <c r="E13" s="4">
        <f>SUMIF('Gastos por Proyecto'!A:A,A13,'Gastos por Proyecto'!B:B)</f>
        <v/>
      </c>
      <c r="F13" s="4">
        <f>SUMIF('Mano de Obra'!A:A,A13,'Mano de Obra'!D:D)</f>
        <v/>
      </c>
      <c r="G13" s="4">
        <f>D13+E13+F13</f>
        <v/>
      </c>
      <c r="H13" s="4">
        <f>B13-G13</f>
        <v/>
      </c>
      <c r="I13" s="6">
        <f>IF(B13=0,0,G13/B13)</f>
        <v/>
      </c>
    </row>
    <row r="14">
      <c r="A14" s="6">
        <f>'Certificaciones'!B6</f>
        <v/>
      </c>
      <c r="B14" s="4">
        <f>'Certificaciones'!C6</f>
        <v/>
      </c>
      <c r="C14" s="6">
        <f>'Certificaciones'!D6</f>
        <v/>
      </c>
      <c r="D14" s="4">
        <f>C14*$B$7</f>
        <v/>
      </c>
      <c r="E14" s="4">
        <f>SUMIF('Gastos por Proyecto'!A:A,A14,'Gastos por Proyecto'!B:B)</f>
        <v/>
      </c>
      <c r="F14" s="4">
        <f>SUMIF('Mano de Obra'!A:A,A14,'Mano de Obra'!D:D)</f>
        <v/>
      </c>
      <c r="G14" s="4">
        <f>D14+E14+F14</f>
        <v/>
      </c>
      <c r="H14" s="4">
        <f>B14-G14</f>
        <v/>
      </c>
      <c r="I14" s="6">
        <f>IF(B14=0,0,G14/B14)</f>
        <v/>
      </c>
    </row>
    <row r="15">
      <c r="A15" s="6">
        <f>'Certificaciones'!B7</f>
        <v/>
      </c>
      <c r="B15" s="4">
        <f>'Certificaciones'!C7</f>
        <v/>
      </c>
      <c r="C15" s="6">
        <f>'Certificaciones'!D7</f>
        <v/>
      </c>
      <c r="D15" s="4">
        <f>C15*$B$7</f>
        <v/>
      </c>
      <c r="E15" s="4">
        <f>SUMIF('Gastos por Proyecto'!A:A,A15,'Gastos por Proyecto'!B:B)</f>
        <v/>
      </c>
      <c r="F15" s="4">
        <f>SUMIF('Mano de Obra'!A:A,A15,'Mano de Obra'!D:D)</f>
        <v/>
      </c>
      <c r="G15" s="4">
        <f>D15+E15+F15</f>
        <v/>
      </c>
      <c r="H15" s="4">
        <f>B15-G15</f>
        <v/>
      </c>
      <c r="I15" s="6">
        <f>IF(B15=0,0,G15/B15)</f>
        <v/>
      </c>
    </row>
    <row r="16">
      <c r="A16" s="6">
        <f>'Certificaciones'!B8</f>
        <v/>
      </c>
      <c r="B16" s="4">
        <f>'Certificaciones'!C8</f>
        <v/>
      </c>
      <c r="C16" s="6">
        <f>'Certificaciones'!D8</f>
        <v/>
      </c>
      <c r="D16" s="4">
        <f>C16*$B$7</f>
        <v/>
      </c>
      <c r="E16" s="4">
        <f>SUMIF('Gastos por Proyecto'!A:A,A16,'Gastos por Proyecto'!B:B)</f>
        <v/>
      </c>
      <c r="F16" s="4">
        <f>SUMIF('Mano de Obra'!A:A,A16,'Mano de Obra'!D:D)</f>
        <v/>
      </c>
      <c r="G16" s="4">
        <f>D16+E16+F16</f>
        <v/>
      </c>
      <c r="H16" s="4">
        <f>B16-G16</f>
        <v/>
      </c>
      <c r="I16" s="6">
        <f>IF(B16=0,0,G16/B16)</f>
        <v/>
      </c>
    </row>
    <row r="17">
      <c r="A17" s="6">
        <f>'Certificaciones'!B9</f>
        <v/>
      </c>
      <c r="B17" s="4">
        <f>'Certificaciones'!C9</f>
        <v/>
      </c>
      <c r="C17" s="6">
        <f>'Certificaciones'!D9</f>
        <v/>
      </c>
      <c r="D17" s="4">
        <f>C17*$B$7</f>
        <v/>
      </c>
      <c r="E17" s="4">
        <f>SUMIF('Gastos por Proyecto'!A:A,A17,'Gastos por Proyecto'!B:B)</f>
        <v/>
      </c>
      <c r="F17" s="4">
        <f>SUMIF('Mano de Obra'!A:A,A17,'Mano de Obra'!D:D)</f>
        <v/>
      </c>
      <c r="G17" s="4">
        <f>D17+E17+F17</f>
        <v/>
      </c>
      <c r="H17" s="4">
        <f>B17-G17</f>
        <v/>
      </c>
      <c r="I17" s="6">
        <f>IF(B17=0,0,G17/B17)</f>
        <v/>
      </c>
    </row>
    <row r="18">
      <c r="A18" s="6">
        <f>'Certificaciones'!B10</f>
        <v/>
      </c>
      <c r="B18" s="4">
        <f>'Certificaciones'!C10</f>
        <v/>
      </c>
      <c r="C18" s="6">
        <f>'Certificaciones'!D10</f>
        <v/>
      </c>
      <c r="D18" s="4">
        <f>C18*$B$7</f>
        <v/>
      </c>
      <c r="E18" s="4">
        <f>SUMIF('Gastos por Proyecto'!A:A,A18,'Gastos por Proyecto'!B:B)</f>
        <v/>
      </c>
      <c r="F18" s="4">
        <f>SUMIF('Mano de Obra'!A:A,A18,'Mano de Obra'!D:D)</f>
        <v/>
      </c>
      <c r="G18" s="4">
        <f>D18+E18+F18</f>
        <v/>
      </c>
      <c r="H18" s="4">
        <f>B18-G18</f>
        <v/>
      </c>
      <c r="I18" s="6">
        <f>IF(B18=0,0,G18/B18)</f>
        <v/>
      </c>
    </row>
    <row r="19">
      <c r="A19" s="6">
        <f>'Certificaciones'!B11</f>
        <v/>
      </c>
      <c r="B19" s="4">
        <f>'Certificaciones'!C11</f>
        <v/>
      </c>
      <c r="C19" s="6">
        <f>'Certificaciones'!D11</f>
        <v/>
      </c>
      <c r="D19" s="4">
        <f>C19*$B$7</f>
        <v/>
      </c>
      <c r="E19" s="4">
        <f>SUMIF('Gastos por Proyecto'!A:A,A19,'Gastos por Proyecto'!B:B)</f>
        <v/>
      </c>
      <c r="F19" s="4">
        <f>SUMIF('Mano de Obra'!A:A,A19,'Mano de Obra'!D:D)</f>
        <v/>
      </c>
      <c r="G19" s="4">
        <f>D19+E19+F19</f>
        <v/>
      </c>
      <c r="H19" s="4">
        <f>B19-G19</f>
        <v/>
      </c>
      <c r="I19" s="6">
        <f>IF(B19=0,0,G19/B19)</f>
        <v/>
      </c>
    </row>
    <row r="20">
      <c r="A20" s="6">
        <f>'Certificaciones'!B12</f>
        <v/>
      </c>
      <c r="B20" s="4">
        <f>'Certificaciones'!C12</f>
        <v/>
      </c>
      <c r="C20" s="6">
        <f>'Certificaciones'!D12</f>
        <v/>
      </c>
      <c r="D20" s="4">
        <f>C20*$B$7</f>
        <v/>
      </c>
      <c r="E20" s="4">
        <f>SUMIF('Gastos por Proyecto'!A:A,A20,'Gastos por Proyecto'!B:B)</f>
        <v/>
      </c>
      <c r="F20" s="4">
        <f>SUMIF('Mano de Obra'!A:A,A20,'Mano de Obra'!D:D)</f>
        <v/>
      </c>
      <c r="G20" s="4">
        <f>D20+E20+F20</f>
        <v/>
      </c>
      <c r="H20" s="4">
        <f>B20-G20</f>
        <v/>
      </c>
      <c r="I20" s="6">
        <f>IF(B20=0,0,G20/B20)</f>
        <v/>
      </c>
    </row>
    <row r="21">
      <c r="A21" s="6">
        <f>'Certificaciones'!B13</f>
        <v/>
      </c>
      <c r="B21" s="4">
        <f>'Certificaciones'!C13</f>
        <v/>
      </c>
      <c r="C21" s="6">
        <f>'Certificaciones'!D13</f>
        <v/>
      </c>
      <c r="D21" s="4">
        <f>C21*$B$7</f>
        <v/>
      </c>
      <c r="E21" s="4">
        <f>SUMIF('Gastos por Proyecto'!A:A,A21,'Gastos por Proyecto'!B:B)</f>
        <v/>
      </c>
      <c r="F21" s="4">
        <f>SUMIF('Mano de Obra'!A:A,A21,'Mano de Obra'!D:D)</f>
        <v/>
      </c>
      <c r="G21" s="4">
        <f>D21+E21+F21</f>
        <v/>
      </c>
      <c r="H21" s="4">
        <f>B21-G21</f>
        <v/>
      </c>
      <c r="I21" s="6">
        <f>IF(B21=0,0,G21/B21)</f>
        <v/>
      </c>
    </row>
    <row r="22">
      <c r="A22" s="6">
        <f>'Certificaciones'!B14</f>
        <v/>
      </c>
      <c r="B22" s="4">
        <f>'Certificaciones'!C14</f>
        <v/>
      </c>
      <c r="C22" s="6">
        <f>'Certificaciones'!D14</f>
        <v/>
      </c>
      <c r="D22" s="4">
        <f>C22*$B$7</f>
        <v/>
      </c>
      <c r="E22" s="4">
        <f>SUMIF('Gastos por Proyecto'!A:A,A22,'Gastos por Proyecto'!B:B)</f>
        <v/>
      </c>
      <c r="F22" s="4">
        <f>SUMIF('Mano de Obra'!A:A,A22,'Mano de Obra'!D:D)</f>
        <v/>
      </c>
      <c r="G22" s="4">
        <f>D22+E22+F22</f>
        <v/>
      </c>
      <c r="H22" s="4">
        <f>B22-G22</f>
        <v/>
      </c>
      <c r="I22" s="6">
        <f>IF(B22=0,0,G22/B22)</f>
        <v/>
      </c>
    </row>
    <row r="23">
      <c r="A23" s="6">
        <f>'Certificaciones'!B15</f>
        <v/>
      </c>
      <c r="B23" s="4">
        <f>'Certificaciones'!C15</f>
        <v/>
      </c>
      <c r="C23" s="6">
        <f>'Certificaciones'!D15</f>
        <v/>
      </c>
      <c r="D23" s="4">
        <f>C23*$B$7</f>
        <v/>
      </c>
      <c r="E23" s="4">
        <f>SUMIF('Gastos por Proyecto'!A:A,A23,'Gastos por Proyecto'!B:B)</f>
        <v/>
      </c>
      <c r="F23" s="4">
        <f>SUMIF('Mano de Obra'!A:A,A23,'Mano de Obra'!D:D)</f>
        <v/>
      </c>
      <c r="G23" s="4">
        <f>D23+E23+F23</f>
        <v/>
      </c>
      <c r="H23" s="4">
        <f>B23-G23</f>
        <v/>
      </c>
      <c r="I23" s="6">
        <f>IF(B23=0,0,G23/B23)</f>
        <v/>
      </c>
    </row>
    <row r="24">
      <c r="A24" s="6">
        <f>'Certificaciones'!B16</f>
        <v/>
      </c>
      <c r="B24" s="4">
        <f>'Certificaciones'!C16</f>
        <v/>
      </c>
      <c r="C24" s="6">
        <f>'Certificaciones'!D16</f>
        <v/>
      </c>
      <c r="D24" s="4">
        <f>C24*$B$7</f>
        <v/>
      </c>
      <c r="E24" s="4">
        <f>SUMIF('Gastos por Proyecto'!A:A,A24,'Gastos por Proyecto'!B:B)</f>
        <v/>
      </c>
      <c r="F24" s="4">
        <f>SUMIF('Mano de Obra'!A:A,A24,'Mano de Obra'!D:D)</f>
        <v/>
      </c>
      <c r="G24" s="4">
        <f>D24+E24+F24</f>
        <v/>
      </c>
      <c r="H24" s="4">
        <f>B24-G24</f>
        <v/>
      </c>
      <c r="I24" s="6">
        <f>IF(B24=0,0,G24/B24)</f>
        <v/>
      </c>
    </row>
    <row r="25">
      <c r="A25" s="6">
        <f>'Certificaciones'!B17</f>
        <v/>
      </c>
      <c r="B25" s="4">
        <f>'Certificaciones'!C17</f>
        <v/>
      </c>
      <c r="C25" s="6">
        <f>'Certificaciones'!D17</f>
        <v/>
      </c>
      <c r="D25" s="4">
        <f>C25*$B$7</f>
        <v/>
      </c>
      <c r="E25" s="4">
        <f>SUMIF('Gastos por Proyecto'!A:A,A25,'Gastos por Proyecto'!B:B)</f>
        <v/>
      </c>
      <c r="F25" s="4">
        <f>SUMIF('Mano de Obra'!A:A,A25,'Mano de Obra'!D:D)</f>
        <v/>
      </c>
      <c r="G25" s="4">
        <f>D25+E25+F25</f>
        <v/>
      </c>
      <c r="H25" s="4">
        <f>B25-G25</f>
        <v/>
      </c>
      <c r="I25" s="6">
        <f>IF(B25=0,0,G25/B25)</f>
        <v/>
      </c>
    </row>
    <row r="26">
      <c r="A26" s="6">
        <f>'Certificaciones'!B18</f>
        <v/>
      </c>
      <c r="B26" s="4">
        <f>'Certificaciones'!C18</f>
        <v/>
      </c>
      <c r="C26" s="6">
        <f>'Certificaciones'!D18</f>
        <v/>
      </c>
      <c r="D26" s="4">
        <f>C26*$B$7</f>
        <v/>
      </c>
      <c r="E26" s="4">
        <f>SUMIF('Gastos por Proyecto'!A:A,A26,'Gastos por Proyecto'!B:B)</f>
        <v/>
      </c>
      <c r="F26" s="4">
        <f>SUMIF('Mano de Obra'!A:A,A26,'Mano de Obra'!D:D)</f>
        <v/>
      </c>
      <c r="G26" s="4">
        <f>D26+E26+F26</f>
        <v/>
      </c>
      <c r="H26" s="4">
        <f>B26-G26</f>
        <v/>
      </c>
      <c r="I26" s="6">
        <f>IF(B26=0,0,G26/B26)</f>
        <v/>
      </c>
    </row>
    <row r="27">
      <c r="A27" s="6">
        <f>'Certificaciones'!B19</f>
        <v/>
      </c>
      <c r="B27" s="4">
        <f>'Certificaciones'!C19</f>
        <v/>
      </c>
      <c r="C27" s="6">
        <f>'Certificaciones'!D19</f>
        <v/>
      </c>
      <c r="D27" s="4">
        <f>C27*$B$7</f>
        <v/>
      </c>
      <c r="E27" s="4">
        <f>SUMIF('Gastos por Proyecto'!A:A,A27,'Gastos por Proyecto'!B:B)</f>
        <v/>
      </c>
      <c r="F27" s="4">
        <f>SUMIF('Mano de Obra'!A:A,A27,'Mano de Obra'!D:D)</f>
        <v/>
      </c>
      <c r="G27" s="4">
        <f>D27+E27+F27</f>
        <v/>
      </c>
      <c r="H27" s="4">
        <f>B27-G27</f>
        <v/>
      </c>
      <c r="I27" s="6">
        <f>IF(B27=0,0,G27/B27)</f>
        <v/>
      </c>
    </row>
    <row r="28">
      <c r="A28" s="6">
        <f>'Certificaciones'!B20</f>
        <v/>
      </c>
      <c r="B28" s="4">
        <f>'Certificaciones'!C20</f>
        <v/>
      </c>
      <c r="C28" s="6">
        <f>'Certificaciones'!D20</f>
        <v/>
      </c>
      <c r="D28" s="4">
        <f>C28*$B$7</f>
        <v/>
      </c>
      <c r="E28" s="4">
        <f>SUMIF('Gastos por Proyecto'!A:A,A28,'Gastos por Proyecto'!B:B)</f>
        <v/>
      </c>
      <c r="F28" s="4">
        <f>SUMIF('Mano de Obra'!A:A,A28,'Mano de Obra'!D:D)</f>
        <v/>
      </c>
      <c r="G28" s="4">
        <f>D28+E28+F28</f>
        <v/>
      </c>
      <c r="H28" s="4">
        <f>B28-G28</f>
        <v/>
      </c>
      <c r="I28" s="6">
        <f>IF(B28=0,0,G28/B28)</f>
        <v/>
      </c>
    </row>
    <row r="29">
      <c r="A29" s="6">
        <f>'Certificaciones'!B21</f>
        <v/>
      </c>
      <c r="B29" s="4">
        <f>'Certificaciones'!C21</f>
        <v/>
      </c>
      <c r="C29" s="6">
        <f>'Certificaciones'!D21</f>
        <v/>
      </c>
      <c r="D29" s="4">
        <f>C29*$B$7</f>
        <v/>
      </c>
      <c r="E29" s="4">
        <f>SUMIF('Gastos por Proyecto'!A:A,A29,'Gastos por Proyecto'!B:B)</f>
        <v/>
      </c>
      <c r="F29" s="4">
        <f>SUMIF('Mano de Obra'!A:A,A29,'Mano de Obra'!D:D)</f>
        <v/>
      </c>
      <c r="G29" s="4">
        <f>D29+E29+F29</f>
        <v/>
      </c>
      <c r="H29" s="4">
        <f>B29-G29</f>
        <v/>
      </c>
      <c r="I29" s="6">
        <f>IF(B29=0,0,G29/B29)</f>
        <v/>
      </c>
    </row>
    <row r="30">
      <c r="A30" s="6">
        <f>'Certificaciones'!B22</f>
        <v/>
      </c>
      <c r="B30" s="4">
        <f>'Certificaciones'!C22</f>
        <v/>
      </c>
      <c r="C30" s="6">
        <f>'Certificaciones'!D22</f>
        <v/>
      </c>
      <c r="D30" s="4">
        <f>C30*$B$7</f>
        <v/>
      </c>
      <c r="E30" s="4">
        <f>SUMIF('Gastos por Proyecto'!A:A,A30,'Gastos por Proyecto'!B:B)</f>
        <v/>
      </c>
      <c r="F30" s="4">
        <f>SUMIF('Mano de Obra'!A:A,A30,'Mano de Obra'!D:D)</f>
        <v/>
      </c>
      <c r="G30" s="4">
        <f>D30+E30+F30</f>
        <v/>
      </c>
      <c r="H30" s="4">
        <f>B30-G30</f>
        <v/>
      </c>
      <c r="I30" s="6">
        <f>IF(B30=0,0,G30/B30)</f>
        <v/>
      </c>
    </row>
    <row r="31">
      <c r="A31" s="6">
        <f>'Certificaciones'!B23</f>
        <v/>
      </c>
      <c r="B31" s="4">
        <f>'Certificaciones'!C23</f>
        <v/>
      </c>
      <c r="C31" s="6">
        <f>'Certificaciones'!D23</f>
        <v/>
      </c>
      <c r="D31" s="4">
        <f>C31*$B$7</f>
        <v/>
      </c>
      <c r="E31" s="4">
        <f>SUMIF('Gastos por Proyecto'!A:A,A31,'Gastos por Proyecto'!B:B)</f>
        <v/>
      </c>
      <c r="F31" s="4">
        <f>SUMIF('Mano de Obra'!A:A,A31,'Mano de Obra'!D:D)</f>
        <v/>
      </c>
      <c r="G31" s="4">
        <f>D31+E31+F31</f>
        <v/>
      </c>
      <c r="H31" s="4">
        <f>B31-G31</f>
        <v/>
      </c>
      <c r="I31" s="6">
        <f>IF(B31=0,0,G31/B31)</f>
        <v/>
      </c>
    </row>
    <row r="32">
      <c r="A32" s="6">
        <f>'Certificaciones'!B24</f>
        <v/>
      </c>
      <c r="B32" s="4">
        <f>'Certificaciones'!C24</f>
        <v/>
      </c>
      <c r="C32" s="6">
        <f>'Certificaciones'!D24</f>
        <v/>
      </c>
      <c r="D32" s="4">
        <f>C32*$B$7</f>
        <v/>
      </c>
      <c r="E32" s="4">
        <f>SUMIF('Gastos por Proyecto'!A:A,A32,'Gastos por Proyecto'!B:B)</f>
        <v/>
      </c>
      <c r="F32" s="4">
        <f>SUMIF('Mano de Obra'!A:A,A32,'Mano de Obra'!D:D)</f>
        <v/>
      </c>
      <c r="G32" s="4">
        <f>D32+E32+F32</f>
        <v/>
      </c>
      <c r="H32" s="4">
        <f>B32-G32</f>
        <v/>
      </c>
      <c r="I32" s="6">
        <f>IF(B32=0,0,G32/B32)</f>
        <v/>
      </c>
    </row>
    <row r="33">
      <c r="A33" s="6">
        <f>'Certificaciones'!B25</f>
        <v/>
      </c>
      <c r="B33" s="4">
        <f>'Certificaciones'!C25</f>
        <v/>
      </c>
      <c r="C33" s="6">
        <f>'Certificaciones'!D25</f>
        <v/>
      </c>
      <c r="D33" s="4">
        <f>C33*$B$7</f>
        <v/>
      </c>
      <c r="E33" s="4">
        <f>SUMIF('Gastos por Proyecto'!A:A,A33,'Gastos por Proyecto'!B:B)</f>
        <v/>
      </c>
      <c r="F33" s="4">
        <f>SUMIF('Mano de Obra'!A:A,A33,'Mano de Obra'!D:D)</f>
        <v/>
      </c>
      <c r="G33" s="4">
        <f>D33+E33+F33</f>
        <v/>
      </c>
      <c r="H33" s="4">
        <f>B33-G33</f>
        <v/>
      </c>
      <c r="I33" s="6">
        <f>IF(B33=0,0,G33/B33)</f>
        <v/>
      </c>
    </row>
    <row r="34">
      <c r="A34" s="6">
        <f>'Certificaciones'!B26</f>
        <v/>
      </c>
      <c r="B34" s="4">
        <f>'Certificaciones'!C26</f>
        <v/>
      </c>
      <c r="C34" s="6">
        <f>'Certificaciones'!D26</f>
        <v/>
      </c>
      <c r="D34" s="4">
        <f>C34*$B$7</f>
        <v/>
      </c>
      <c r="E34" s="4">
        <f>SUMIF('Gastos por Proyecto'!A:A,A34,'Gastos por Proyecto'!B:B)</f>
        <v/>
      </c>
      <c r="F34" s="4">
        <f>SUMIF('Mano de Obra'!A:A,A34,'Mano de Obra'!D:D)</f>
        <v/>
      </c>
      <c r="G34" s="4">
        <f>D34+E34+F34</f>
        <v/>
      </c>
      <c r="H34" s="4">
        <f>B34-G34</f>
        <v/>
      </c>
      <c r="I34" s="6">
        <f>IF(B34=0,0,G34/B34)</f>
        <v/>
      </c>
    </row>
    <row r="35">
      <c r="A35" s="7" t="inlineStr">
        <is>
          <t>OBRAS SIN CERTIFICACION (7) - 52,362.80 EUR de perdida</t>
        </is>
      </c>
      <c r="B35" s="4" t="n"/>
      <c r="C35" s="6" t="n"/>
      <c r="D35" s="4" t="n"/>
      <c r="E35" s="4" t="n"/>
      <c r="F35" s="4" t="n"/>
      <c r="G35" s="4" t="n"/>
      <c r="H35" s="4" t="n"/>
      <c r="I35" s="6" t="n"/>
    </row>
    <row r="36">
      <c r="A36" s="6" t="inlineStr">
        <is>
          <t>2100 - OBRA MURO VECINO CAMPO</t>
        </is>
      </c>
      <c r="B36" s="4" t="n">
        <v>0</v>
      </c>
      <c r="C36" s="6" t="n">
        <v>0</v>
      </c>
      <c r="D36" s="4">
        <f>C36*$B$7</f>
        <v/>
      </c>
      <c r="E36" s="4">
        <f>SUMIF('Gastos por Proyecto'!A:A,A36,'Gastos por Proyecto'!B:B)</f>
        <v/>
      </c>
      <c r="F36" s="4">
        <f>SUMIF('Mano de Obra'!A:A,A36,'Mano de Obra'!D:D)</f>
        <v/>
      </c>
      <c r="G36" s="4">
        <f>D36+E36+F36</f>
        <v/>
      </c>
      <c r="H36" s="4">
        <f>B36-G36</f>
        <v/>
      </c>
      <c r="I36" s="6">
        <f>IF(B36=0,0,G36/B36)</f>
        <v/>
      </c>
    </row>
    <row r="37">
      <c r="A37" s="6" t="inlineStr">
        <is>
          <t>2600 - OBRA MURO CAMPO ARANTXA</t>
        </is>
      </c>
      <c r="B37" s="4" t="n">
        <v>0</v>
      </c>
      <c r="C37" s="6" t="n">
        <v>0</v>
      </c>
      <c r="D37" s="4">
        <f>C37*$B$7</f>
        <v/>
      </c>
      <c r="E37" s="4">
        <f>SUMIF('Gastos por Proyecto'!A:A,A37,'Gastos por Proyecto'!B:B)</f>
        <v/>
      </c>
      <c r="F37" s="4">
        <f>SUMIF('Mano de Obra'!A:A,A37,'Mano de Obra'!D:D)</f>
        <v/>
      </c>
      <c r="G37" s="4">
        <f>D37+E37+F37</f>
        <v/>
      </c>
      <c r="H37" s="4">
        <f>B37-G37</f>
        <v/>
      </c>
      <c r="I37" s="6">
        <f>IF(B37=0,0,G37/B37)</f>
        <v/>
      </c>
    </row>
    <row r="38">
      <c r="A38" s="6" t="inlineStr">
        <is>
          <t>24001 - OBRA C/IBIZA, ASPE (CASA CABO)</t>
        </is>
      </c>
      <c r="B38" s="4" t="n">
        <v>0</v>
      </c>
      <c r="C38" s="6" t="n">
        <v>0</v>
      </c>
      <c r="D38" s="4">
        <f>C38*$B$7</f>
        <v/>
      </c>
      <c r="E38" s="4">
        <f>SUMIF('Gastos por Proyecto'!A:A,A38,'Gastos por Proyecto'!B:B)</f>
        <v/>
      </c>
      <c r="F38" s="4">
        <f>SUMIF('Mano de Obra'!A:A,A38,'Mano de Obra'!D:D)</f>
        <v/>
      </c>
      <c r="G38" s="4">
        <f>D38+E38+F38</f>
        <v/>
      </c>
      <c r="H38" s="4">
        <f>B38-G38</f>
        <v/>
      </c>
      <c r="I38" s="6">
        <f>IF(B38=0,0,G38/B38)</f>
        <v/>
      </c>
    </row>
    <row r="39">
      <c r="A39" s="6" t="inlineStr">
        <is>
          <t>2400 - ARREGLOS OBRAS ARAQUE Y MAQUEDA</t>
        </is>
      </c>
      <c r="B39" s="4" t="n">
        <v>0</v>
      </c>
      <c r="C39" s="6" t="n">
        <v>0</v>
      </c>
      <c r="D39" s="4">
        <f>C39*$B$7</f>
        <v/>
      </c>
      <c r="E39" s="4">
        <f>SUMIF('Gastos por Proyecto'!A:A,A39,'Gastos por Proyecto'!B:B)</f>
        <v/>
      </c>
      <c r="F39" s="4">
        <f>SUMIF('Mano de Obra'!A:A,A39,'Mano de Obra'!D:D)</f>
        <v/>
      </c>
      <c r="G39" s="4">
        <f>D39+E39+F39</f>
        <v/>
      </c>
      <c r="H39" s="4">
        <f>B39-G39</f>
        <v/>
      </c>
      <c r="I39" s="6">
        <f>IF(B39=0,0,G39/B39)</f>
        <v/>
      </c>
    </row>
    <row r="40">
      <c r="A40" s="6" t="inlineStr">
        <is>
          <t>24008 - OBRA C/HUERTO CAPUCHINOS, MURCIA (COLEGIO MAYOR)</t>
        </is>
      </c>
      <c r="B40" s="4" t="n">
        <v>0</v>
      </c>
      <c r="C40" s="6" t="n">
        <v>0</v>
      </c>
      <c r="D40" s="4">
        <f>C40*$B$7</f>
        <v/>
      </c>
      <c r="E40" s="4">
        <f>SUMIF('Gastos por Proyecto'!A:A,A40,'Gastos por Proyecto'!B:B)</f>
        <v/>
      </c>
      <c r="F40" s="4">
        <f>SUMIF('Mano de Obra'!A:A,A40,'Mano de Obra'!D:D)</f>
        <v/>
      </c>
      <c r="G40" s="4">
        <f>D40+E40+F40</f>
        <v/>
      </c>
      <c r="H40" s="4">
        <f>B40-G40</f>
        <v/>
      </c>
      <c r="I40" s="6">
        <f>IF(B40=0,0,G40/B40)</f>
        <v/>
      </c>
    </row>
    <row r="41">
      <c r="A41" s="6" t="inlineStr">
        <is>
          <t>26010 - PROYECTO 4 BASCULAS EN SILOS - Paraje de los Rincones S,N - Poligono 3, parcelas 94 y 113 - Algueña (Alicante)</t>
        </is>
      </c>
      <c r="B41" s="4" t="n">
        <v>0</v>
      </c>
      <c r="C41" s="6" t="n">
        <v>0</v>
      </c>
      <c r="D41" s="4">
        <f>C41*$B$7</f>
        <v/>
      </c>
      <c r="E41" s="4">
        <f>SUMIF('Gastos por Proyecto'!A:A,A41,'Gastos por Proyecto'!B:B)</f>
        <v/>
      </c>
      <c r="F41" s="4">
        <f>SUMIF('Mano de Obra'!A:A,A41,'Mano de Obra'!D:D)</f>
        <v/>
      </c>
      <c r="G41" s="4">
        <f>D41+E41+F41</f>
        <v/>
      </c>
      <c r="H41" s="4">
        <f>B41-G41</f>
        <v/>
      </c>
      <c r="I41" s="6">
        <f>IF(B41=0,0,G41/B41)</f>
        <v/>
      </c>
    </row>
    <row r="42">
      <c r="A42" s="6" t="inlineStr">
        <is>
          <t>26021 - OBRA CRISTINA RESTAURANTE, ALICANTE</t>
        </is>
      </c>
      <c r="B42" s="4" t="n">
        <v>0</v>
      </c>
      <c r="C42" s="6" t="n">
        <v>0</v>
      </c>
      <c r="D42" s="4">
        <f>C42*$B$7</f>
        <v/>
      </c>
      <c r="E42" s="4">
        <f>SUMIF('Gastos por Proyecto'!A:A,A42,'Gastos por Proyecto'!B:B)</f>
        <v/>
      </c>
      <c r="F42" s="4">
        <f>SUMIF('Mano de Obra'!A:A,A42,'Mano de Obra'!D:D)</f>
        <v/>
      </c>
      <c r="G42" s="4">
        <f>D42+E42+F42</f>
        <v/>
      </c>
      <c r="H42" s="4">
        <f>B42-G42</f>
        <v/>
      </c>
      <c r="I42" s="6">
        <f>IF(B42=0,0,G42/B42)</f>
        <v/>
      </c>
    </row>
    <row r="43">
      <c r="A43" s="8" t="inlineStr">
        <is>
          <t>TOTAL GENERAL</t>
        </is>
      </c>
      <c r="B43" s="9">
        <f>SUM(B12:B42)</f>
        <v/>
      </c>
      <c r="C43" s="8">
        <f>SUM(C12:C42)</f>
        <v/>
      </c>
      <c r="D43" s="9">
        <f>SUM(D12:D42)</f>
        <v/>
      </c>
      <c r="E43" s="9">
        <f>SUM(E12:E42)</f>
        <v/>
      </c>
      <c r="F43" s="9">
        <f>SUM(F12:F42)</f>
        <v/>
      </c>
      <c r="G43" s="9">
        <f>SUM(G12:G42)</f>
        <v/>
      </c>
      <c r="H43" s="9">
        <f>SUM(H12:H42)</f>
        <v/>
      </c>
      <c r="I43" s="8">
        <f>IF(B43=0,0,G43/B43)</f>
        <v/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498DB"/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0" customWidth="1" min="3" max="3"/>
    <col width="14" customWidth="1" min="4" max="4"/>
    <col width="22" customWidth="1" min="5" max="5"/>
  </cols>
  <sheetData>
    <row r="1">
      <c r="A1" s="1" t="inlineStr">
        <is>
          <t>CERTIFICACIONES A FECHA DE 31/08/2026</t>
        </is>
      </c>
    </row>
    <row r="3">
      <c r="A3" s="5" t="inlineStr">
        <is>
          <t>N</t>
        </is>
      </c>
      <c r="B3" s="5" t="inlineStr">
        <is>
          <t>Proyecto</t>
        </is>
      </c>
      <c r="C3" s="5" t="inlineStr">
        <is>
          <t>Certificacion (EUR)</t>
        </is>
      </c>
      <c r="D3" s="5" t="inlineStr">
        <is>
          <t>% del Total</t>
        </is>
      </c>
      <c r="E3" s="5" t="inlineStr">
        <is>
          <t>Observaciones</t>
        </is>
      </c>
    </row>
    <row r="4">
      <c r="A4" s="6" t="n">
        <v>1</v>
      </c>
      <c r="B4" s="6" t="inlineStr">
        <is>
          <t>26002 - GARAJE MURCIA</t>
        </is>
      </c>
      <c r="C4" s="4" t="n">
        <v>8875.66</v>
      </c>
      <c r="D4" s="6">
        <f>C4/C27</f>
        <v/>
      </c>
      <c r="E4" s="6" t="inlineStr"/>
    </row>
    <row r="5">
      <c r="A5" s="6" t="n">
        <v>2</v>
      </c>
      <c r="B5" s="6" t="inlineStr">
        <is>
          <t>26001 - SANTA ROSA</t>
        </is>
      </c>
      <c r="C5" s="4" t="n">
        <v>23917.62</v>
      </c>
      <c r="D5" s="6">
        <f>C5/C27</f>
        <v/>
      </c>
      <c r="E5" s="6" t="inlineStr"/>
    </row>
    <row r="6">
      <c r="A6" s="6" t="n">
        <v>3</v>
      </c>
      <c r="B6" s="6" t="inlineStr">
        <is>
          <t>24017 - CEMENTERIO, MURCIA</t>
        </is>
      </c>
      <c r="C6" s="4" t="n">
        <v>46635.25</v>
      </c>
      <c r="D6" s="6">
        <f>C6/C27</f>
        <v/>
      </c>
      <c r="E6" s="6" t="inlineStr"/>
    </row>
    <row r="7">
      <c r="A7" s="6" t="n">
        <v>4</v>
      </c>
      <c r="B7" s="6" t="inlineStr">
        <is>
          <t>24002 - FORMENTERA 14, JUANMA</t>
        </is>
      </c>
      <c r="C7" s="4" t="n">
        <v>105543.77</v>
      </c>
      <c r="D7" s="6">
        <f>C7/C27</f>
        <v/>
      </c>
      <c r="E7" s="6" t="inlineStr"/>
    </row>
    <row r="8">
      <c r="A8" s="6" t="n">
        <v>5</v>
      </c>
      <c r="B8" s="6" t="inlineStr">
        <is>
          <t>24009 - FORMENTERA 12, JOAQUIN</t>
        </is>
      </c>
      <c r="C8" s="4" t="n">
        <v>171885.2</v>
      </c>
      <c r="D8" s="6">
        <f>C8/C27</f>
        <v/>
      </c>
      <c r="E8" s="6" t="inlineStr"/>
    </row>
    <row r="9">
      <c r="A9" s="6" t="n">
        <v>6</v>
      </c>
      <c r="B9" s="6" t="inlineStr">
        <is>
          <t>24015 - LA PARTE DIFICIL, ALICANTE</t>
        </is>
      </c>
      <c r="C9" s="4" t="n">
        <v>63277.34</v>
      </c>
      <c r="D9" s="6">
        <f>C9/C27</f>
        <v/>
      </c>
      <c r="E9" s="6" t="inlineStr"/>
    </row>
    <row r="10">
      <c r="A10" s="6" t="n">
        <v>7</v>
      </c>
      <c r="B10" s="6" t="inlineStr">
        <is>
          <t>24014 - LA PARTE DIFICIL, MURCIA</t>
        </is>
      </c>
      <c r="C10" s="4" t="n">
        <v>3288</v>
      </c>
      <c r="D10" s="6">
        <f>C10/C27</f>
        <v/>
      </c>
      <c r="E10" s="6" t="inlineStr"/>
    </row>
    <row r="11">
      <c r="A11" s="6" t="n">
        <v>8</v>
      </c>
      <c r="B11" s="6" t="inlineStr">
        <is>
          <t>26005 - A-13</t>
        </is>
      </c>
      <c r="C11" s="4" t="n">
        <v>16241.92</v>
      </c>
      <c r="D11" s="6">
        <f>C11/C27</f>
        <v/>
      </c>
      <c r="E11" s="6" t="inlineStr"/>
    </row>
    <row r="12">
      <c r="A12" s="6" t="n">
        <v>9</v>
      </c>
      <c r="B12" s="6" t="inlineStr">
        <is>
          <t>24010 - LA ALBERCA</t>
        </is>
      </c>
      <c r="C12" s="4" t="n">
        <v>116432.26</v>
      </c>
      <c r="D12" s="6">
        <f>C12/C27</f>
        <v/>
      </c>
      <c r="E12" s="6" t="inlineStr"/>
    </row>
    <row r="13">
      <c r="A13" s="6" t="n">
        <v>10</v>
      </c>
      <c r="B13" s="6" t="inlineStr">
        <is>
          <t>26003 - BARINAS</t>
        </is>
      </c>
      <c r="C13" s="4" t="n">
        <v>45611.44</v>
      </c>
      <c r="D13" s="6">
        <f>C13/C27</f>
        <v/>
      </c>
      <c r="E13" s="6" t="inlineStr"/>
    </row>
    <row r="14">
      <c r="A14" s="6" t="n">
        <v>11</v>
      </c>
      <c r="B14" s="6" t="inlineStr">
        <is>
          <t>24016 - PLAZA CIRCULAR</t>
        </is>
      </c>
      <c r="C14" s="4" t="n">
        <v>364931.58</v>
      </c>
      <c r="D14" s="6">
        <f>C14/C27</f>
        <v/>
      </c>
      <c r="E14" s="6" t="inlineStr"/>
    </row>
    <row r="15">
      <c r="A15" s="6" t="n">
        <v>12</v>
      </c>
      <c r="B15" s="6" t="inlineStr">
        <is>
          <t>26006 - OBRA PADRE TRINI</t>
        </is>
      </c>
      <c r="C15" s="4" t="n">
        <v>1407.99</v>
      </c>
      <c r="D15" s="6">
        <f>C15/C27</f>
        <v/>
      </c>
      <c r="E15" s="6" t="inlineStr"/>
    </row>
    <row r="16">
      <c r="A16" s="6" t="n">
        <v>13</v>
      </c>
      <c r="B16" s="6" t="inlineStr">
        <is>
          <t>26004 - OBRA PISO IBI</t>
        </is>
      </c>
      <c r="C16" s="4" t="n">
        <v>4320</v>
      </c>
      <c r="D16" s="6">
        <f>C16/C27</f>
        <v/>
      </c>
      <c r="E16" s="6" t="inlineStr"/>
    </row>
    <row r="17">
      <c r="A17" s="6" t="n">
        <v>14</v>
      </c>
      <c r="B17" s="6" t="inlineStr">
        <is>
          <t>24018 - OBRA LUC2</t>
        </is>
      </c>
      <c r="C17" s="4" t="n">
        <v>88834.70999999999</v>
      </c>
      <c r="D17" s="6">
        <f>C17/C27</f>
        <v/>
      </c>
      <c r="E17" s="6" t="inlineStr"/>
    </row>
    <row r="18">
      <c r="A18" s="6" t="n">
        <v>15</v>
      </c>
      <c r="B18" s="6" t="inlineStr">
        <is>
          <t>26011 - CASTILLO DE ELDA</t>
        </is>
      </c>
      <c r="C18" s="4" t="n">
        <v>82667.51999999999</v>
      </c>
      <c r="D18" s="6">
        <f>C18/C27</f>
        <v/>
      </c>
      <c r="E18" s="6" t="inlineStr"/>
    </row>
    <row r="19">
      <c r="A19" s="6" t="n">
        <v>16</v>
      </c>
      <c r="B19" s="6" t="inlineStr">
        <is>
          <t>26009 - OBRA CALLE CARTAGENA, MURCIA</t>
        </is>
      </c>
      <c r="C19" s="4" t="n">
        <v>51343.23</v>
      </c>
      <c r="D19" s="6">
        <f>C19/C27</f>
        <v/>
      </c>
      <c r="E19" s="6" t="inlineStr"/>
    </row>
    <row r="20">
      <c r="A20" s="6" t="n">
        <v>17</v>
      </c>
      <c r="B20" s="6" t="inlineStr">
        <is>
          <t>26012 - CBS</t>
        </is>
      </c>
      <c r="C20" s="4" t="n">
        <v>7600</v>
      </c>
      <c r="D20" s="6">
        <f>C20/C27</f>
        <v/>
      </c>
      <c r="E20" s="6" t="inlineStr"/>
    </row>
    <row r="21">
      <c r="A21" s="6" t="n">
        <v>18</v>
      </c>
      <c r="B21" s="6" t="inlineStr">
        <is>
          <t>26020 - OBRA CARLA, PINOSO</t>
        </is>
      </c>
      <c r="C21" s="4" t="n">
        <v>24613.04</v>
      </c>
      <c r="D21" s="6">
        <f>C21/C27</f>
        <v/>
      </c>
      <c r="E21" s="6" t="inlineStr"/>
    </row>
    <row r="22">
      <c r="A22" s="6" t="n">
        <v>19</v>
      </c>
      <c r="B22" s="6" t="inlineStr">
        <is>
          <t>26017 - OBRA MADRE MARIA PEREAMAR</t>
        </is>
      </c>
      <c r="C22" s="4" t="n">
        <v>16856.76</v>
      </c>
      <c r="D22" s="6">
        <f>C22/C27</f>
        <v/>
      </c>
      <c r="E22" s="6" t="inlineStr"/>
    </row>
    <row r="23">
      <c r="A23" s="6" t="n">
        <v>20</v>
      </c>
      <c r="B23" s="6" t="inlineStr">
        <is>
          <t>26007 - OBRA HELENA Y JACOBO</t>
        </is>
      </c>
      <c r="C23" s="4" t="n">
        <v>92506.82000000001</v>
      </c>
      <c r="D23" s="6">
        <f>C23/C27</f>
        <v/>
      </c>
      <c r="E23" s="6" t="inlineStr"/>
    </row>
    <row r="24">
      <c r="A24" s="6" t="n">
        <v>21</v>
      </c>
      <c r="B24" s="6" t="inlineStr">
        <is>
          <t>26008 - OBRA ALBERTO Y EVA - C/ RIO SEGURA, 4. SAN VICENTE DEL RASPEIG</t>
        </is>
      </c>
      <c r="C24" s="4" t="n">
        <v>49293.55</v>
      </c>
      <c r="D24" s="6">
        <f>C24/C27</f>
        <v/>
      </c>
      <c r="E24" s="6" t="inlineStr"/>
    </row>
    <row r="25">
      <c r="A25" s="6" t="n">
        <v>22</v>
      </c>
      <c r="B25" s="6" t="inlineStr">
        <is>
          <t>26022 - OBRA COLEGIO MONOVAR</t>
        </is>
      </c>
      <c r="C25" s="4" t="n">
        <v>1377.3</v>
      </c>
      <c r="D25" s="6">
        <f>C25/C27</f>
        <v/>
      </c>
      <c r="E25" s="6" t="inlineStr"/>
    </row>
    <row r="26">
      <c r="A26" s="6" t="n">
        <v>23</v>
      </c>
      <c r="B26" s="6" t="inlineStr">
        <is>
          <t>26013 - ARREGLO PAVIMENTOS COMUNIDAD PROPIETARIOS -CALLE SOROLLA, 13. 03560. EL CAMPELLO</t>
        </is>
      </c>
      <c r="C26" s="4" t="n">
        <v>1200</v>
      </c>
      <c r="D26" s="6">
        <f>C26/C27</f>
        <v/>
      </c>
      <c r="E26" s="6" t="inlineStr"/>
    </row>
    <row r="27">
      <c r="A27" s="8" t="n"/>
      <c r="B27" s="8" t="inlineStr">
        <is>
          <t>TOTAL CERTIFICACIONES</t>
        </is>
      </c>
      <c r="C27" s="9">
        <f>SUM(C4:C26)</f>
        <v/>
      </c>
      <c r="D27" s="8">
        <f>SUM(D4:D26)</f>
        <v/>
      </c>
      <c r="E27" s="8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94560"/>
    <outlinePr summaryBelow="1" summaryRight="1"/>
    <pageSetUpPr/>
  </sheetPr>
  <dimension ref="A1:F30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GASTOS GENERALES (301 facturas)</t>
        </is>
      </c>
    </row>
    <row r="3">
      <c r="A3" s="5" t="inlineStr">
        <is>
          <t>Codigo</t>
        </is>
      </c>
      <c r="B3" s="5" t="inlineStr">
        <is>
          <t>Fecha</t>
        </is>
      </c>
      <c r="C3" s="5" t="inlineStr">
        <is>
          <t>Titulo/Concepto</t>
        </is>
      </c>
      <c r="D3" s="5" t="inlineStr">
        <is>
          <t>Proveedor</t>
        </is>
      </c>
      <c r="E3" s="5" t="inlineStr">
        <is>
          <t>Importe (EUR)</t>
        </is>
      </c>
      <c r="F3" s="5" t="inlineStr">
        <is>
          <t>Observaciones</t>
        </is>
      </c>
    </row>
    <row r="4">
      <c r="A4" s="6" t="inlineStr">
        <is>
          <t>202657783</t>
        </is>
      </c>
      <c r="B4" s="6" t="inlineStr">
        <is>
          <t>08/10/2026</t>
        </is>
      </c>
      <c r="C4" s="6" t="inlineStr">
        <is>
          <t>CONECTA 3 - OCTUBRE</t>
        </is>
      </c>
      <c r="D4" s="6" t="inlineStr"/>
      <c r="E4" s="4" t="n">
        <v>54.36</v>
      </c>
      <c r="F4" s="6" t="n"/>
    </row>
    <row r="5">
      <c r="A5" s="6" t="inlineStr">
        <is>
          <t>24</t>
        </is>
      </c>
      <c r="B5" s="6" t="inlineStr">
        <is>
          <t>29/09/2026</t>
        </is>
      </c>
      <c r="C5" s="6" t="inlineStr">
        <is>
          <t>DESBROCE SOLAR</t>
        </is>
      </c>
      <c r="D5" s="6" t="inlineStr">
        <is>
          <t>MARCOS GALIANO POVEDA</t>
        </is>
      </c>
      <c r="E5" s="4" t="n">
        <v>260</v>
      </c>
      <c r="F5" s="6" t="n"/>
    </row>
    <row r="6">
      <c r="A6" s="6" t="inlineStr">
        <is>
          <t>602109077</t>
        </is>
      </c>
      <c r="B6" s="6" t="inlineStr">
        <is>
          <t>04/09/2026</t>
        </is>
      </c>
      <c r="C6" s="6" t="inlineStr">
        <is>
          <t>MATERIAL</t>
        </is>
      </c>
      <c r="D6" s="6" t="inlineStr">
        <is>
          <t>COMERFONSA SL</t>
        </is>
      </c>
      <c r="E6" s="4" t="n">
        <v>292.29</v>
      </c>
      <c r="F6" s="6" t="n"/>
    </row>
    <row r="7">
      <c r="A7" s="6" t="inlineStr">
        <is>
          <t>26FP001789</t>
        </is>
      </c>
      <c r="B7" s="6" t="inlineStr">
        <is>
          <t>15/09/2026</t>
        </is>
      </c>
      <c r="C7" s="6" t="inlineStr">
        <is>
          <t>REPOSTAJE</t>
        </is>
      </c>
      <c r="D7" s="6" t="inlineStr">
        <is>
          <t>E.S. PINOSO S.L.</t>
        </is>
      </c>
      <c r="E7" s="4" t="n">
        <v>84.34</v>
      </c>
      <c r="F7" s="6" t="n"/>
    </row>
    <row r="8">
      <c r="A8" s="6" t="inlineStr">
        <is>
          <t>691</t>
        </is>
      </c>
      <c r="B8" s="6" t="inlineStr">
        <is>
          <t>30/09/2026</t>
        </is>
      </c>
      <c r="C8" s="6" t="inlineStr">
        <is>
          <t>ASESORIA LABORAL SEPTIEMBRE</t>
        </is>
      </c>
      <c r="D8" s="6" t="inlineStr"/>
      <c r="E8" s="4" t="n">
        <v>260</v>
      </c>
      <c r="F8" s="6" t="n"/>
    </row>
    <row r="9">
      <c r="A9" s="6" t="inlineStr">
        <is>
          <t>005710/A/26/000970</t>
        </is>
      </c>
      <c r="B9" s="6" t="inlineStr">
        <is>
          <t>28/09/2026</t>
        </is>
      </c>
      <c r="C9" s="6" t="inlineStr">
        <is>
          <t>REPOSTAJE</t>
        </is>
      </c>
      <c r="D9" s="6" t="inlineStr">
        <is>
          <t>REPSOL SOLUCIONES ENERGETICAS SA.</t>
        </is>
      </c>
      <c r="E9" s="4" t="n">
        <v>94.04000000000001</v>
      </c>
      <c r="F9" s="6" t="n"/>
    </row>
    <row r="10">
      <c r="A10" s="6" t="inlineStr">
        <is>
          <t>26FP001878</t>
        </is>
      </c>
      <c r="B10" s="6" t="inlineStr">
        <is>
          <t>29/09/2026</t>
        </is>
      </c>
      <c r="C10" s="6" t="inlineStr">
        <is>
          <t>REPOSTAJE</t>
        </is>
      </c>
      <c r="D10" s="6" t="inlineStr">
        <is>
          <t>E.S. PINOSO S.L.</t>
        </is>
      </c>
      <c r="E10" s="4" t="n">
        <v>21.12</v>
      </c>
      <c r="F10" s="6" t="n"/>
    </row>
    <row r="11">
      <c r="A11" s="6" t="inlineStr">
        <is>
          <t>26FP001879</t>
        </is>
      </c>
      <c r="B11" s="6" t="inlineStr">
        <is>
          <t>29/09/2026</t>
        </is>
      </c>
      <c r="C11" s="6" t="inlineStr">
        <is>
          <t>REPOSTAJE</t>
        </is>
      </c>
      <c r="D11" s="6" t="inlineStr">
        <is>
          <t>E.S. PINOSO S.L.</t>
        </is>
      </c>
      <c r="E11" s="4" t="n">
        <v>73.13</v>
      </c>
      <c r="F11" s="6" t="n"/>
    </row>
    <row r="12">
      <c r="A12" s="6" t="inlineStr">
        <is>
          <t>F0018-026-51-07/0014627</t>
        </is>
      </c>
      <c r="B12" s="6" t="inlineStr">
        <is>
          <t>26/08/2026</t>
        </is>
      </c>
      <c r="C12" s="6" t="inlineStr">
        <is>
          <t>DISCO CORTE/GUANTES</t>
        </is>
      </c>
      <c r="D12" s="6" t="inlineStr">
        <is>
          <t>BRICOLAJE BRICOMAN SLU</t>
        </is>
      </c>
      <c r="E12" s="4" t="n">
        <v>45.03</v>
      </c>
      <c r="F12" s="6" t="n"/>
    </row>
    <row r="13">
      <c r="A13" s="6" t="inlineStr">
        <is>
          <t>A26-0218</t>
        </is>
      </c>
      <c r="B13" s="6" t="inlineStr">
        <is>
          <t>01/10/2026</t>
        </is>
      </c>
      <c r="C13" s="6" t="inlineStr">
        <is>
          <t>BILLD IN 2026</t>
        </is>
      </c>
      <c r="D13" s="6" t="inlineStr">
        <is>
          <t>SIDE QUEST APES, S.L.</t>
        </is>
      </c>
      <c r="E13" s="4" t="n">
        <v>1138.8</v>
      </c>
      <c r="F13" s="6" t="n"/>
    </row>
    <row r="14">
      <c r="A14" s="6" t="inlineStr">
        <is>
          <t>FE26390029900065</t>
        </is>
      </c>
      <c r="B14" s="6" t="inlineStr">
        <is>
          <t>06/08/2026</t>
        </is>
      </c>
      <c r="C14" s="6" t="inlineStr">
        <is>
          <t>NATURGY JULIO</t>
        </is>
      </c>
      <c r="D14" s="6" t="inlineStr"/>
      <c r="E14" s="4" t="n">
        <v>31.71</v>
      </c>
      <c r="F14" s="6" t="n"/>
    </row>
    <row r="15">
      <c r="A15" s="6" t="inlineStr">
        <is>
          <t>01262026A100076291</t>
        </is>
      </c>
      <c r="B15" s="6" t="inlineStr">
        <is>
          <t>07/08/2026</t>
        </is>
      </c>
      <c r="C15" s="6" t="inlineStr">
        <is>
          <t>HIDRAQUA AGOSTO</t>
        </is>
      </c>
      <c r="D15" s="6" t="inlineStr">
        <is>
          <t>HIDRAQUA GESTIÓN INTEGRAL DE AGUAS DE LEVANTE SL</t>
        </is>
      </c>
      <c r="E15" s="4" t="n">
        <v>30.65</v>
      </c>
      <c r="F15" s="6" t="n"/>
    </row>
    <row r="16">
      <c r="A16" s="6" t="inlineStr">
        <is>
          <t>614</t>
        </is>
      </c>
      <c r="B16" s="6" t="inlineStr">
        <is>
          <t>31/08/2026</t>
        </is>
      </c>
      <c r="C16" s="6" t="inlineStr">
        <is>
          <t>ASESORIA LABORAL AGOSTO</t>
        </is>
      </c>
      <c r="D16" s="6" t="inlineStr"/>
      <c r="E16" s="4" t="n">
        <v>260</v>
      </c>
      <c r="F16" s="6" t="n"/>
    </row>
    <row r="17">
      <c r="A17" s="6" t="inlineStr">
        <is>
          <t>F260480780</t>
        </is>
      </c>
      <c r="B17" s="6" t="inlineStr">
        <is>
          <t>21/09/2026</t>
        </is>
      </c>
      <c r="C17" s="6" t="inlineStr">
        <is>
          <t>HOLDED SEPTIEMBRE</t>
        </is>
      </c>
      <c r="D17" s="6" t="inlineStr">
        <is>
          <t>HOLDED TECHNOLOGIES SL.</t>
        </is>
      </c>
      <c r="E17" s="4" t="n">
        <v>59</v>
      </c>
      <c r="F17" s="6" t="n"/>
    </row>
    <row r="18">
      <c r="A18" s="6" t="inlineStr">
        <is>
          <t>INV/2026/00210</t>
        </is>
      </c>
      <c r="B18" s="6" t="inlineStr">
        <is>
          <t>30/09/2026</t>
        </is>
      </c>
      <c r="C18" s="6" t="inlineStr">
        <is>
          <t>PISTOLA ATAR SUP TJEP</t>
        </is>
      </c>
      <c r="D18" s="6" t="inlineStr">
        <is>
          <t>JUAN JOSÉ MUÑOZ ROBLES</t>
        </is>
      </c>
      <c r="E18" s="4" t="n">
        <v>1395</v>
      </c>
      <c r="F18" s="6" t="n"/>
    </row>
    <row r="19">
      <c r="A19" s="6" t="inlineStr">
        <is>
          <t>1-02943</t>
        </is>
      </c>
      <c r="B19" s="6" t="inlineStr">
        <is>
          <t>30/09/2026</t>
        </is>
      </c>
      <c r="C19" s="6" t="inlineStr">
        <is>
          <t>OBSEQUIO CLIENTES</t>
        </is>
      </c>
      <c r="D19" s="6" t="inlineStr">
        <is>
          <t>DISJOVER BEBIDAS SL.</t>
        </is>
      </c>
      <c r="E19" s="4" t="n">
        <v>533.58</v>
      </c>
      <c r="F19" s="6" t="n"/>
    </row>
    <row r="20">
      <c r="A20" s="6" t="inlineStr">
        <is>
          <t>062-0010-259415</t>
        </is>
      </c>
      <c r="B20" s="6" t="inlineStr">
        <is>
          <t>02/10/2026</t>
        </is>
      </c>
      <c r="C20" s="6" t="inlineStr">
        <is>
          <t>CLAVADORA</t>
        </is>
      </c>
      <c r="D20" s="6" t="inlineStr">
        <is>
          <t>LEROY MERLIN ESPAÑA SL</t>
        </is>
      </c>
      <c r="E20" s="4" t="n">
        <v>531.27</v>
      </c>
      <c r="F20" s="6" t="n"/>
    </row>
    <row r="21">
      <c r="A21" s="6" t="inlineStr">
        <is>
          <t>V-26-09-24286</t>
        </is>
      </c>
      <c r="B21" s="6" t="inlineStr">
        <is>
          <t>30/09/2026</t>
        </is>
      </c>
      <c r="C21" s="6" t="inlineStr">
        <is>
          <t>PLENOIL SEPTIEMBRE</t>
        </is>
      </c>
      <c r="D21" s="6" t="inlineStr">
        <is>
          <t>PLENOIL SL.</t>
        </is>
      </c>
      <c r="E21" s="4" t="n">
        <v>2045.71</v>
      </c>
      <c r="F21" s="6" t="n"/>
    </row>
    <row r="22">
      <c r="A22" s="6" t="inlineStr">
        <is>
          <t>2.007,00</t>
        </is>
      </c>
      <c r="B22" s="6" t="inlineStr">
        <is>
          <t>01/10/2026</t>
        </is>
      </c>
      <c r="C22" s="6" t="inlineStr">
        <is>
          <t>VARIOS</t>
        </is>
      </c>
      <c r="D22" s="6" t="inlineStr">
        <is>
          <t>JYSK DBL IBERIA SLU</t>
        </is>
      </c>
      <c r="E22" s="4" t="n">
        <v>-23.69</v>
      </c>
      <c r="F22" s="6" t="n"/>
    </row>
    <row r="23">
      <c r="A23" s="6" t="inlineStr">
        <is>
          <t>2.005,00</t>
        </is>
      </c>
      <c r="B23" s="6" t="inlineStr">
        <is>
          <t>01/10/2026</t>
        </is>
      </c>
      <c r="C23" s="6" t="inlineStr">
        <is>
          <t>HERRAMIENTA</t>
        </is>
      </c>
      <c r="D23" s="6" t="inlineStr">
        <is>
          <t>LEROY MERLIN ESPAÑA SL</t>
        </is>
      </c>
      <c r="E23" s="4" t="n">
        <v>-1086</v>
      </c>
      <c r="F23" s="6" t="n"/>
    </row>
    <row r="24">
      <c r="A24" s="6" t="inlineStr">
        <is>
          <t>2026-0299</t>
        </is>
      </c>
      <c r="B24" s="6" t="inlineStr">
        <is>
          <t>01/09/2026</t>
        </is>
      </c>
      <c r="C24" s="6" t="inlineStr">
        <is>
          <t>ASESORAMIENTO CONTABLE FISCAL</t>
        </is>
      </c>
      <c r="D24" s="6" t="inlineStr"/>
      <c r="E24" s="4" t="n">
        <v>360.15</v>
      </c>
      <c r="F24" s="6" t="n"/>
    </row>
    <row r="25">
      <c r="A25" s="6" t="inlineStr">
        <is>
          <t>20631</t>
        </is>
      </c>
      <c r="B25" s="6" t="inlineStr">
        <is>
          <t>20/09/2026</t>
        </is>
      </c>
      <c r="C25" s="6" t="inlineStr">
        <is>
          <t>DUCHA PINOSO</t>
        </is>
      </c>
      <c r="D25" s="6" t="inlineStr">
        <is>
          <t>SALTOKI ELCHE SL.</t>
        </is>
      </c>
      <c r="E25" s="4" t="n">
        <v>265.05</v>
      </c>
      <c r="F25" s="6" t="n"/>
    </row>
    <row r="26">
      <c r="A26" s="6" t="inlineStr">
        <is>
          <t>062-0009- 253350</t>
        </is>
      </c>
      <c r="B26" s="6" t="inlineStr">
        <is>
          <t>21/09/2026</t>
        </is>
      </c>
      <c r="C26" s="6" t="inlineStr">
        <is>
          <t>HERRAMIENTA</t>
        </is>
      </c>
      <c r="D26" s="6" t="inlineStr">
        <is>
          <t>LEROY MERLIN ESPAÑA SL</t>
        </is>
      </c>
      <c r="E26" s="4" t="n">
        <v>1086.1</v>
      </c>
      <c r="F26" s="6" t="n"/>
    </row>
    <row r="27">
      <c r="A27" s="6" t="inlineStr">
        <is>
          <t>635927488</t>
        </is>
      </c>
      <c r="B27" s="6" t="inlineStr">
        <is>
          <t>29/09/2026</t>
        </is>
      </c>
      <c r="C27" s="6" t="inlineStr">
        <is>
          <t>VARIOS</t>
        </is>
      </c>
      <c r="D27" s="6" t="inlineStr">
        <is>
          <t>JYSK DBL IBERIA SLU</t>
        </is>
      </c>
      <c r="E27" s="4" t="n">
        <v>44.28</v>
      </c>
      <c r="F27" s="6" t="n"/>
    </row>
    <row r="28">
      <c r="A28" s="6" t="inlineStr">
        <is>
          <t>062-0009-255228</t>
        </is>
      </c>
      <c r="B28" s="6" t="inlineStr">
        <is>
          <t>24/09/2026</t>
        </is>
      </c>
      <c r="C28" s="6" t="inlineStr">
        <is>
          <t>MATERIAL VARIO</t>
        </is>
      </c>
      <c r="D28" s="6" t="inlineStr">
        <is>
          <t>LEROY MERLIN ESPAÑA SL</t>
        </is>
      </c>
      <c r="E28" s="4" t="n">
        <v>195.07</v>
      </c>
      <c r="F28" s="6" t="n"/>
    </row>
    <row r="29">
      <c r="A29" s="6" t="inlineStr">
        <is>
          <t>FE 022010015806AB0E30252026000000202</t>
        </is>
      </c>
      <c r="B29" s="6" t="inlineStr">
        <is>
          <t>25/08/2026</t>
        </is>
      </c>
      <c r="C29" s="6" t="inlineStr">
        <is>
          <t>REPOSTAJE</t>
        </is>
      </c>
      <c r="D29" s="6" t="inlineStr">
        <is>
          <t>GALP ENERGIA ESPAÑA SAU</t>
        </is>
      </c>
      <c r="E29" s="4" t="n">
        <v>51.8</v>
      </c>
      <c r="F29" s="6" t="n"/>
    </row>
    <row r="30">
      <c r="A30" s="6" t="inlineStr">
        <is>
          <t>193-1946</t>
        </is>
      </c>
      <c r="B30" s="6" t="inlineStr">
        <is>
          <t>02/09/2026</t>
        </is>
      </c>
      <c r="C30" s="6" t="inlineStr">
        <is>
          <t>REPOSTAJE</t>
        </is>
      </c>
      <c r="D30" s="6" t="inlineStr">
        <is>
          <t>TECNONOIL SOLUTIONS SOCIEDAD ANONIMA.</t>
        </is>
      </c>
      <c r="E30" s="4" t="n">
        <v>74.37</v>
      </c>
      <c r="F30" s="6" t="n"/>
    </row>
    <row r="31">
      <c r="A31" s="6" t="inlineStr">
        <is>
          <t>26FP001745</t>
        </is>
      </c>
      <c r="B31" s="6" t="inlineStr">
        <is>
          <t>09/09/2026</t>
        </is>
      </c>
      <c r="C31" s="6" t="inlineStr">
        <is>
          <t>REPOSTAJE</t>
        </is>
      </c>
      <c r="D31" s="6" t="inlineStr">
        <is>
          <t>E.S. PINOSO S.L.</t>
        </is>
      </c>
      <c r="E31" s="4" t="n">
        <v>71.5</v>
      </c>
      <c r="F31" s="6" t="n"/>
    </row>
    <row r="32">
      <c r="A32" s="6" t="inlineStr">
        <is>
          <t>833</t>
        </is>
      </c>
      <c r="B32" s="6" t="inlineStr">
        <is>
          <t>19/09/2026</t>
        </is>
      </c>
      <c r="C32" s="6" t="inlineStr">
        <is>
          <t>REPOSTAJE</t>
        </is>
      </c>
      <c r="D32" s="6" t="inlineStr">
        <is>
          <t>HIJOS DE NAVARRO ROBLES SL</t>
        </is>
      </c>
      <c r="E32" s="4" t="n">
        <v>16.53</v>
      </c>
      <c r="F32" s="6" t="n"/>
    </row>
    <row r="33">
      <c r="A33" s="6" t="inlineStr">
        <is>
          <t>035651026/00001592</t>
        </is>
      </c>
      <c r="B33" s="6" t="inlineStr">
        <is>
          <t>22/09/2026</t>
        </is>
      </c>
      <c r="C33" s="6" t="inlineStr">
        <is>
          <t>REPOSTAJE</t>
        </is>
      </c>
      <c r="D33" s="6" t="inlineStr">
        <is>
          <t>VECTALIA OIL SL.</t>
        </is>
      </c>
      <c r="E33" s="4" t="n">
        <v>16.14</v>
      </c>
      <c r="F33" s="6" t="n"/>
    </row>
    <row r="34">
      <c r="A34" s="6" t="inlineStr">
        <is>
          <t>062-0009-254429</t>
        </is>
      </c>
      <c r="B34" s="6" t="inlineStr">
        <is>
          <t>22/09/2026</t>
        </is>
      </c>
      <c r="C34" s="6" t="inlineStr">
        <is>
          <t>BOMBILLAS</t>
        </is>
      </c>
      <c r="D34" s="6" t="inlineStr">
        <is>
          <t>LEROY MERLIN ESPAÑA SL</t>
        </is>
      </c>
      <c r="E34" s="4" t="n">
        <v>32.21</v>
      </c>
      <c r="F34" s="6" t="n"/>
    </row>
    <row r="35">
      <c r="A35" s="6" t="inlineStr">
        <is>
          <t>1.965,00</t>
        </is>
      </c>
      <c r="B35" s="6" t="inlineStr">
        <is>
          <t>24/09/2026</t>
        </is>
      </c>
      <c r="C35" s="6" t="inlineStr">
        <is>
          <t>RECONOCIMIENTO ANULADO</t>
        </is>
      </c>
      <c r="D35" s="6" t="inlineStr">
        <is>
          <t>EUROPREVEN SERVICIOS DE PREVENCION DE RIESGOS LABORALES SL</t>
        </is>
      </c>
      <c r="E35" s="4" t="n">
        <v>-60</v>
      </c>
      <c r="F35" s="6" t="n"/>
    </row>
    <row r="36">
      <c r="A36" s="6" t="inlineStr">
        <is>
          <t>B3301553</t>
        </is>
      </c>
      <c r="B36" s="6" t="inlineStr">
        <is>
          <t>14/08/2026</t>
        </is>
      </c>
      <c r="C36" s="6" t="inlineStr">
        <is>
          <t>DOMINIO EMAILS</t>
        </is>
      </c>
      <c r="D36" s="6" t="inlineStr">
        <is>
          <t>DINAHOSTING SL</t>
        </is>
      </c>
      <c r="E36" s="4" t="n">
        <v>79.40000000000001</v>
      </c>
      <c r="F36" s="6" t="n"/>
    </row>
    <row r="37">
      <c r="A37" s="6" t="inlineStr">
        <is>
          <t>2026000645</t>
        </is>
      </c>
      <c r="B37" s="6" t="inlineStr">
        <is>
          <t>31/08/2026</t>
        </is>
      </c>
      <c r="C37" s="6" t="inlineStr">
        <is>
          <t>VARIOS</t>
        </is>
      </c>
      <c r="D37" s="6" t="inlineStr">
        <is>
          <t>EURO MARKWT FANG XIANG MAO S.L.</t>
        </is>
      </c>
      <c r="E37" s="4" t="n">
        <v>10.83</v>
      </c>
      <c r="F37" s="6" t="n"/>
    </row>
    <row r="38">
      <c r="A38" s="6" t="inlineStr">
        <is>
          <t>73801/263340</t>
        </is>
      </c>
      <c r="B38" s="6" t="inlineStr">
        <is>
          <t>02/09/2026</t>
        </is>
      </c>
      <c r="C38" s="6" t="inlineStr">
        <is>
          <t>RECONOCIMIENTO ANULADO</t>
        </is>
      </c>
      <c r="D38" s="6" t="inlineStr">
        <is>
          <t>EUROPREVEN SERVICIOS DE PREVENCION DE RIESGOS LABORALES SL</t>
        </is>
      </c>
      <c r="E38" s="4" t="n">
        <v>60</v>
      </c>
      <c r="F38" s="6" t="n"/>
    </row>
    <row r="39">
      <c r="A39" s="6" t="inlineStr">
        <is>
          <t>021-0009-268200</t>
        </is>
      </c>
      <c r="B39" s="6" t="inlineStr">
        <is>
          <t>08/09/2026</t>
        </is>
      </c>
      <c r="C39" s="6" t="inlineStr">
        <is>
          <t>BRIDAS</t>
        </is>
      </c>
      <c r="D39" s="6" t="inlineStr">
        <is>
          <t>LEROY MERLIN ESPAÑA SL</t>
        </is>
      </c>
      <c r="E39" s="4" t="n">
        <v>6.43</v>
      </c>
      <c r="F39" s="6" t="n"/>
    </row>
    <row r="40">
      <c r="A40" s="6" t="inlineStr">
        <is>
          <t>005710/A/26/000899</t>
        </is>
      </c>
      <c r="B40" s="6" t="inlineStr">
        <is>
          <t>10/09/2026</t>
        </is>
      </c>
      <c r="C40" s="6" t="inlineStr">
        <is>
          <t>REPOSTAJE</t>
        </is>
      </c>
      <c r="D40" s="6" t="inlineStr">
        <is>
          <t>REPSOL SOLUCIONES ENERGETICAS SA.</t>
        </is>
      </c>
      <c r="E40" s="4" t="n">
        <v>82.83</v>
      </c>
      <c r="F40" s="6" t="n"/>
    </row>
    <row r="41">
      <c r="A41" s="6" t="inlineStr">
        <is>
          <t>005710/A/26/000930</t>
        </is>
      </c>
      <c r="B41" s="6" t="inlineStr">
        <is>
          <t>17/09/2026</t>
        </is>
      </c>
      <c r="C41" s="6" t="inlineStr">
        <is>
          <t>REPOSTAJE</t>
        </is>
      </c>
      <c r="D41" s="6" t="inlineStr">
        <is>
          <t>REPSOL SOLUCIONES ENERGETICAS SA.</t>
        </is>
      </c>
      <c r="E41" s="4" t="n">
        <v>78.89</v>
      </c>
      <c r="F41" s="6" t="n"/>
    </row>
    <row r="42">
      <c r="A42" s="6" t="inlineStr">
        <is>
          <t>PTL26-10476</t>
        </is>
      </c>
      <c r="B42" s="6" t="inlineStr">
        <is>
          <t>19/09/2026</t>
        </is>
      </c>
      <c r="C42" s="6" t="inlineStr">
        <is>
          <t>BEBIDA PARA OBRA</t>
        </is>
      </c>
      <c r="D42" s="6" t="inlineStr">
        <is>
          <t>CASH LEVANTE SL</t>
        </is>
      </c>
      <c r="E42" s="4" t="n">
        <v>56.4</v>
      </c>
      <c r="F42" s="6" t="n"/>
    </row>
    <row r="43">
      <c r="A43" s="6" t="inlineStr">
        <is>
          <t>062-0009-253350</t>
        </is>
      </c>
      <c r="B43" s="6" t="inlineStr">
        <is>
          <t>21/09/2026</t>
        </is>
      </c>
      <c r="C43" s="6" t="inlineStr">
        <is>
          <t>HERRAMIENTA</t>
        </is>
      </c>
      <c r="D43" s="6" t="inlineStr">
        <is>
          <t>LEROY MERLIN ESPAÑA SL</t>
        </is>
      </c>
      <c r="E43" s="4" t="n">
        <v>1086</v>
      </c>
      <c r="F43" s="6" t="n"/>
    </row>
    <row r="44">
      <c r="A44" s="6" t="inlineStr">
        <is>
          <t>261003480</t>
        </is>
      </c>
      <c r="B44" s="6" t="inlineStr">
        <is>
          <t>21/09/2026</t>
        </is>
      </c>
      <c r="C44" s="6" t="inlineStr">
        <is>
          <t>REPOSTAJE</t>
        </is>
      </c>
      <c r="D44" s="6" t="inlineStr">
        <is>
          <t>MORAMON SL</t>
        </is>
      </c>
      <c r="E44" s="4" t="n">
        <v>91.23999999999999</v>
      </c>
      <c r="F44" s="6" t="n"/>
    </row>
    <row r="45">
      <c r="A45" s="6" t="inlineStr">
        <is>
          <t>ES0000032279980-0726</t>
        </is>
      </c>
      <c r="B45" s="6" t="inlineStr">
        <is>
          <t>04/08/2026</t>
        </is>
      </c>
      <c r="C45" s="6" t="inlineStr">
        <is>
          <t>VIA T - JULIO</t>
        </is>
      </c>
      <c r="D45" s="6" t="inlineStr"/>
      <c r="E45" s="4" t="n">
        <v>15</v>
      </c>
      <c r="F45" s="6" t="n"/>
    </row>
    <row r="46">
      <c r="A46" s="6" t="inlineStr">
        <is>
          <t>ES0000032528846-0826</t>
        </is>
      </c>
      <c r="B46" s="6" t="inlineStr">
        <is>
          <t>03/09/2026</t>
        </is>
      </c>
      <c r="C46" s="6" t="inlineStr">
        <is>
          <t>VIA T - AGOSTO</t>
        </is>
      </c>
      <c r="D46" s="6" t="inlineStr"/>
      <c r="E46" s="4" t="n">
        <v>15</v>
      </c>
      <c r="F46" s="6" t="n"/>
    </row>
    <row r="47">
      <c r="A47" s="6" t="inlineStr">
        <is>
          <t>#F260423105</t>
        </is>
      </c>
      <c r="B47" s="6" t="inlineStr">
        <is>
          <t>21/08/2026</t>
        </is>
      </c>
      <c r="C47" s="6" t="inlineStr">
        <is>
          <t>HOLDED AGOSTO</t>
        </is>
      </c>
      <c r="D47" s="6" t="inlineStr">
        <is>
          <t>HOLDED TECHNOLOGIES SL.</t>
        </is>
      </c>
      <c r="E47" s="4" t="n">
        <v>59</v>
      </c>
      <c r="F47" s="6" t="n"/>
    </row>
    <row r="48">
      <c r="A48" s="6" t="inlineStr">
        <is>
          <t>V-26-08-43557</t>
        </is>
      </c>
      <c r="B48" s="6" t="inlineStr">
        <is>
          <t>31/08/2026</t>
        </is>
      </c>
      <c r="C48" s="6" t="inlineStr">
        <is>
          <t>PLENOIL AGOSTO</t>
        </is>
      </c>
      <c r="D48" s="6" t="inlineStr">
        <is>
          <t>PLENOIL SL.</t>
        </is>
      </c>
      <c r="E48" s="4" t="n">
        <v>846.6900000000001</v>
      </c>
      <c r="F48" s="6" t="n"/>
    </row>
    <row r="49">
      <c r="A49" s="6" t="inlineStr">
        <is>
          <t>9</t>
        </is>
      </c>
      <c r="B49" s="6" t="inlineStr">
        <is>
          <t>01/09/2026</t>
        </is>
      </c>
      <c r="C49" s="6" t="inlineStr">
        <is>
          <t>ALQUILER NAVE SEPTIEMBRE</t>
        </is>
      </c>
      <c r="D49" s="6" t="inlineStr">
        <is>
          <t>PINKY VELVET INTERNATIONAL SL</t>
        </is>
      </c>
      <c r="E49" s="4" t="n">
        <v>350</v>
      </c>
      <c r="F49" s="6" t="n"/>
    </row>
    <row r="50">
      <c r="A50" s="6" t="inlineStr">
        <is>
          <t>8</t>
        </is>
      </c>
      <c r="B50" s="6" t="inlineStr">
        <is>
          <t>01/09/2026</t>
        </is>
      </c>
      <c r="C50" s="6" t="inlineStr">
        <is>
          <t>ALQUILER NAVE AGOSTO</t>
        </is>
      </c>
      <c r="D50" s="6" t="inlineStr">
        <is>
          <t>PINKY VELVET INTERNATIONAL SL</t>
        </is>
      </c>
      <c r="E50" s="4" t="n">
        <v>350</v>
      </c>
      <c r="F50" s="6" t="n"/>
    </row>
    <row r="51">
      <c r="A51" s="6" t="inlineStr">
        <is>
          <t>FE26390033654360</t>
        </is>
      </c>
      <c r="B51" s="6" t="inlineStr">
        <is>
          <t>04/09/2026</t>
        </is>
      </c>
      <c r="C51" s="6" t="inlineStr">
        <is>
          <t>NATURGY AGOSTO</t>
        </is>
      </c>
      <c r="D51" s="6" t="inlineStr"/>
      <c r="E51" s="4" t="n">
        <v>53.13</v>
      </c>
      <c r="F51" s="6" t="n"/>
    </row>
    <row r="52">
      <c r="A52" s="6" t="inlineStr">
        <is>
          <t>202646070</t>
        </is>
      </c>
      <c r="B52" s="6" t="inlineStr">
        <is>
          <t>07/08/2026</t>
        </is>
      </c>
      <c r="C52" s="6" t="inlineStr">
        <is>
          <t>CONECTA 3 - AGOSTO</t>
        </is>
      </c>
      <c r="D52" s="6" t="inlineStr"/>
      <c r="E52" s="4" t="n">
        <v>54.51</v>
      </c>
      <c r="F52" s="6" t="n"/>
    </row>
    <row r="53">
      <c r="A53" s="6" t="inlineStr">
        <is>
          <t>202651930</t>
        </is>
      </c>
      <c r="B53" s="6" t="inlineStr">
        <is>
          <t>09/09/2026</t>
        </is>
      </c>
      <c r="C53" s="6" t="inlineStr">
        <is>
          <t>CONECTA 3  - SEPTIEMBRE</t>
        </is>
      </c>
      <c r="D53" s="6" t="inlineStr"/>
      <c r="E53" s="4" t="n">
        <v>54.36</v>
      </c>
      <c r="F53" s="6" t="n"/>
    </row>
    <row r="54">
      <c r="A54" s="6" t="inlineStr">
        <is>
          <t>V-26-07-22190</t>
        </is>
      </c>
      <c r="B54" s="6" t="inlineStr">
        <is>
          <t>31/07/2026</t>
        </is>
      </c>
      <c r="C54" s="6" t="inlineStr">
        <is>
          <t>PLENOIL JULIO</t>
        </is>
      </c>
      <c r="D54" s="6" t="inlineStr">
        <is>
          <t>PLENOIL SL.</t>
        </is>
      </c>
      <c r="E54" s="4" t="n">
        <v>1699.09</v>
      </c>
      <c r="F54" s="6" t="n"/>
    </row>
    <row r="55">
      <c r="A55" s="6" t="inlineStr">
        <is>
          <t>536</t>
        </is>
      </c>
      <c r="B55" s="6" t="inlineStr">
        <is>
          <t>31/07/2026</t>
        </is>
      </c>
      <c r="C55" s="6" t="inlineStr">
        <is>
          <t>ASESORIA LABORAL JULIO</t>
        </is>
      </c>
      <c r="D55" s="6" t="inlineStr"/>
      <c r="E55" s="4" t="n">
        <v>260</v>
      </c>
      <c r="F55" s="6" t="n"/>
    </row>
    <row r="56">
      <c r="A56" s="6" t="inlineStr">
        <is>
          <t>358898</t>
        </is>
      </c>
      <c r="B56" s="6" t="inlineStr">
        <is>
          <t>01/08/2026</t>
        </is>
      </c>
      <c r="C56" s="6" t="inlineStr">
        <is>
          <t>REPOSTAJE</t>
        </is>
      </c>
      <c r="D56" s="6" t="inlineStr">
        <is>
          <t>CONCORDY SA</t>
        </is>
      </c>
      <c r="E56" s="4" t="n">
        <v>74.39</v>
      </c>
      <c r="F56" s="6" t="n"/>
    </row>
    <row r="57">
      <c r="A57" s="6" t="inlineStr">
        <is>
          <t>738001/262878</t>
        </is>
      </c>
      <c r="B57" s="6" t="inlineStr">
        <is>
          <t>01/08/2026</t>
        </is>
      </c>
      <c r="C57" s="6" t="inlineStr">
        <is>
          <t>RECONOCIMIENTOS MEDICOS</t>
        </is>
      </c>
      <c r="D57" s="6" t="inlineStr">
        <is>
          <t>EUROPREVEN SERVICIOS DE PREVENCION DE RIESGOS LABORALES SL</t>
        </is>
      </c>
      <c r="E57" s="4" t="n">
        <v>175.8</v>
      </c>
      <c r="F57" s="6" t="n"/>
    </row>
    <row r="58">
      <c r="A58" s="6" t="inlineStr">
        <is>
          <t>2026-0264</t>
        </is>
      </c>
      <c r="B58" s="6" t="inlineStr">
        <is>
          <t>01/08/2026</t>
        </is>
      </c>
      <c r="C58" s="6" t="inlineStr">
        <is>
          <t>ASESORAMIENTO CONTABLE FISCAL</t>
        </is>
      </c>
      <c r="D58" s="6" t="inlineStr"/>
      <c r="E58" s="4" t="n">
        <v>360.15</v>
      </c>
      <c r="F58" s="6" t="n"/>
    </row>
    <row r="59">
      <c r="A59" s="6" t="inlineStr">
        <is>
          <t>G26.088</t>
        </is>
      </c>
      <c r="B59" s="6" t="inlineStr">
        <is>
          <t>23/07/2026</t>
        </is>
      </c>
      <c r="C59" s="6" t="inlineStr">
        <is>
          <t>GRUA</t>
        </is>
      </c>
      <c r="D59" s="6" t="inlineStr">
        <is>
          <t>GRUAS Y MAQUINARIA PETREL SL</t>
        </is>
      </c>
      <c r="E59" s="4" t="n">
        <v>260</v>
      </c>
      <c r="F59" s="6" t="n"/>
    </row>
    <row r="60">
      <c r="A60" s="6" t="inlineStr">
        <is>
          <t>2602525</t>
        </is>
      </c>
      <c r="B60" s="6" t="inlineStr">
        <is>
          <t>13/07/2026</t>
        </is>
      </c>
      <c r="C60" s="6" t="inlineStr">
        <is>
          <t>CUERDA</t>
        </is>
      </c>
      <c r="D60" s="6" t="inlineStr">
        <is>
          <t>FERRELDA SL</t>
        </is>
      </c>
      <c r="E60" s="4" t="n">
        <v>64.7</v>
      </c>
      <c r="F60" s="6" t="n"/>
    </row>
    <row r="61">
      <c r="A61" s="6" t="inlineStr">
        <is>
          <t>12</t>
        </is>
      </c>
      <c r="B61" s="6" t="inlineStr">
        <is>
          <t>20/07/2026</t>
        </is>
      </c>
      <c r="C61" s="6" t="inlineStr">
        <is>
          <t>LAVADO COHES</t>
        </is>
      </c>
      <c r="D61" s="6" t="inlineStr">
        <is>
          <t>FARES JAVIER HERNANDEZ OSORIO</t>
        </is>
      </c>
      <c r="E61" s="4" t="n">
        <v>59</v>
      </c>
      <c r="F61" s="6" t="n"/>
    </row>
    <row r="62">
      <c r="A62" s="6" t="inlineStr">
        <is>
          <t>13</t>
        </is>
      </c>
      <c r="B62" s="6" t="inlineStr">
        <is>
          <t>20/07/2026</t>
        </is>
      </c>
      <c r="C62" s="6" t="inlineStr">
        <is>
          <t>LAVADO OPEL COMBO</t>
        </is>
      </c>
      <c r="D62" s="6" t="inlineStr">
        <is>
          <t>FARES JAVIER HERNANDEZ OSORIO</t>
        </is>
      </c>
      <c r="E62" s="4" t="n">
        <v>35</v>
      </c>
      <c r="F62" s="6" t="n"/>
    </row>
    <row r="63">
      <c r="A63" s="6" t="inlineStr">
        <is>
          <t>1707183734</t>
        </is>
      </c>
      <c r="B63" s="6" t="inlineStr">
        <is>
          <t>21/07/2026</t>
        </is>
      </c>
      <c r="C63" s="6" t="inlineStr">
        <is>
          <t>SACO ASPIRADORA</t>
        </is>
      </c>
      <c r="D63" s="6" t="inlineStr">
        <is>
          <t>HILTI ESPAÑOLA SA</t>
        </is>
      </c>
      <c r="E63" s="4" t="n">
        <v>74.76000000000001</v>
      </c>
      <c r="F63" s="6" t="n"/>
    </row>
    <row r="64">
      <c r="A64" s="6" t="inlineStr">
        <is>
          <t>005710/A/26/000648</t>
        </is>
      </c>
      <c r="B64" s="6" t="inlineStr">
        <is>
          <t>01/07/2026</t>
        </is>
      </c>
      <c r="C64" s="6" t="inlineStr">
        <is>
          <t>REPOSTAJE</t>
        </is>
      </c>
      <c r="D64" s="6" t="inlineStr">
        <is>
          <t>REPSOL SOLUCIONES ENERGETICAS SA.</t>
        </is>
      </c>
      <c r="E64" s="4" t="n">
        <v>16.53</v>
      </c>
      <c r="F64" s="6" t="n"/>
    </row>
    <row r="65">
      <c r="A65" s="6" t="inlineStr">
        <is>
          <t>7</t>
        </is>
      </c>
      <c r="B65" s="6" t="inlineStr">
        <is>
          <t>01/07/2026</t>
        </is>
      </c>
      <c r="C65" s="6" t="inlineStr">
        <is>
          <t>ALQUILER NAVE JULIO</t>
        </is>
      </c>
      <c r="D65" s="6" t="inlineStr">
        <is>
          <t>PINKY VELVET INTERNATIONAL SL</t>
        </is>
      </c>
      <c r="E65" s="4" t="n">
        <v>350</v>
      </c>
      <c r="F65" s="6" t="n"/>
    </row>
    <row r="66">
      <c r="A66" s="6" t="inlineStr">
        <is>
          <t>18132026FN00000012</t>
        </is>
      </c>
      <c r="B66" s="6" t="inlineStr">
        <is>
          <t>07/07/2026</t>
        </is>
      </c>
      <c r="C66" s="6" t="inlineStr">
        <is>
          <t>REPOSTAJE</t>
        </is>
      </c>
      <c r="D66" s="6" t="inlineStr">
        <is>
          <t>CAMPSA ESTACIONES DE SERVICIO SA</t>
        </is>
      </c>
      <c r="E66" s="4" t="n">
        <v>22.97</v>
      </c>
      <c r="F66" s="6" t="n"/>
    </row>
    <row r="67">
      <c r="A67" s="6" t="inlineStr">
        <is>
          <t>INV/2026/00157</t>
        </is>
      </c>
      <c r="B67" s="6" t="inlineStr">
        <is>
          <t>13/07/2026</t>
        </is>
      </c>
      <c r="C67" s="6" t="inlineStr">
        <is>
          <t>DISCO DE CORTE</t>
        </is>
      </c>
      <c r="D67" s="6" t="inlineStr">
        <is>
          <t>JUAN JOSÉ MUÑOZ ROBLES</t>
        </is>
      </c>
      <c r="E67" s="4" t="n">
        <v>187.5</v>
      </c>
      <c r="F67" s="6" t="n"/>
    </row>
    <row r="68">
      <c r="A68" s="6" t="inlineStr">
        <is>
          <t>2026/D-1456</t>
        </is>
      </c>
      <c r="B68" s="6" t="inlineStr">
        <is>
          <t>08/07/2026</t>
        </is>
      </c>
      <c r="C68" s="6" t="inlineStr">
        <is>
          <t>SPRAY PINTURA</t>
        </is>
      </c>
      <c r="D68" s="6" t="inlineStr">
        <is>
          <t>PINTURAS IDELLA SL.</t>
        </is>
      </c>
      <c r="E68" s="4" t="n">
        <v>19.31</v>
      </c>
      <c r="F68" s="6" t="n"/>
    </row>
    <row r="69">
      <c r="A69" s="6" t="inlineStr">
        <is>
          <t>73801/262633</t>
        </is>
      </c>
      <c r="B69" s="6" t="inlineStr">
        <is>
          <t>10/07/2026</t>
        </is>
      </c>
      <c r="C69" s="6" t="inlineStr">
        <is>
          <t>RECONOCIMIENTO MÉDICO</t>
        </is>
      </c>
      <c r="D69" s="6" t="inlineStr">
        <is>
          <t>EUROPREVEN SERVICIOS DE PREVENCION DE RIESGOS LABORALES SL</t>
        </is>
      </c>
      <c r="E69" s="4" t="n">
        <v>175.8</v>
      </c>
      <c r="F69" s="6" t="n"/>
    </row>
    <row r="70">
      <c r="A70" s="6" t="inlineStr">
        <is>
          <t>457</t>
        </is>
      </c>
      <c r="B70" s="6" t="inlineStr">
        <is>
          <t>30/06/2026</t>
        </is>
      </c>
      <c r="C70" s="6" t="inlineStr">
        <is>
          <t>ASESORÍA LABORAL JUNIO</t>
        </is>
      </c>
      <c r="D70" s="6" t="inlineStr"/>
      <c r="E70" s="4" t="n">
        <v>260</v>
      </c>
      <c r="F70" s="6" t="n"/>
    </row>
    <row r="71">
      <c r="A71" s="6" t="inlineStr">
        <is>
          <t>R/000110-26</t>
        </is>
      </c>
      <c r="B71" s="6" t="inlineStr">
        <is>
          <t>29/06/2026</t>
        </is>
      </c>
      <c r="C71" s="6" t="inlineStr">
        <is>
          <t>TAPA POROS HIERRO GALVANIZADO</t>
        </is>
      </c>
      <c r="D71" s="6" t="inlineStr">
        <is>
          <t>SUMINISTROS DOMINGUEZ AGUILERA ELDA SL.</t>
        </is>
      </c>
      <c r="E71" s="4" t="n">
        <v>-17</v>
      </c>
      <c r="F71" s="6" t="n"/>
    </row>
    <row r="72">
      <c r="A72" s="6" t="inlineStr">
        <is>
          <t>R/000111-26</t>
        </is>
      </c>
      <c r="B72" s="6" t="inlineStr">
        <is>
          <t>29/06/2026</t>
        </is>
      </c>
      <c r="C72" s="6" t="inlineStr">
        <is>
          <t>FONTANERIA</t>
        </is>
      </c>
      <c r="D72" s="6" t="inlineStr">
        <is>
          <t>SUMINISTROS DOMINGUEZ AGUILERA ELDA SL.</t>
        </is>
      </c>
      <c r="E72" s="4" t="n">
        <v>-29.68</v>
      </c>
      <c r="F72" s="6" t="n"/>
    </row>
    <row r="73">
      <c r="A73" s="6" t="inlineStr">
        <is>
          <t>001-375</t>
        </is>
      </c>
      <c r="B73" s="6" t="inlineStr">
        <is>
          <t>03/06/2026</t>
        </is>
      </c>
      <c r="C73" s="6" t="inlineStr">
        <is>
          <t>MAQUINARIA HONDA</t>
        </is>
      </c>
      <c r="D73" s="6" t="inlineStr">
        <is>
          <t>POLI PRIMI SL</t>
        </is>
      </c>
      <c r="E73" s="4" t="n">
        <v>1983.47</v>
      </c>
      <c r="F73" s="6" t="n"/>
    </row>
    <row r="74">
      <c r="A74" s="6" t="inlineStr">
        <is>
          <t>#F260308867</t>
        </is>
      </c>
      <c r="B74" s="6" t="inlineStr">
        <is>
          <t>21/06/2026</t>
        </is>
      </c>
      <c r="C74" s="6" t="inlineStr">
        <is>
          <t>HOLDED JUNIO</t>
        </is>
      </c>
      <c r="D74" s="6" t="inlineStr">
        <is>
          <t>HOLDED TECHNOLOGIES SL.</t>
        </is>
      </c>
      <c r="E74" s="4" t="n">
        <v>59</v>
      </c>
      <c r="F74" s="6" t="n"/>
    </row>
    <row r="75">
      <c r="A75" s="6" t="inlineStr">
        <is>
          <t>V-26-06-27489</t>
        </is>
      </c>
      <c r="B75" s="6" t="inlineStr">
        <is>
          <t>30/06/2026</t>
        </is>
      </c>
      <c r="C75" s="6" t="inlineStr">
        <is>
          <t>PLENOIL JUNIO</t>
        </is>
      </c>
      <c r="D75" s="6" t="inlineStr">
        <is>
          <t>PLENOIL SL.</t>
        </is>
      </c>
      <c r="E75" s="4" t="n">
        <v>1745.38</v>
      </c>
      <c r="F75" s="6" t="n"/>
    </row>
    <row r="76">
      <c r="A76" s="6" t="inlineStr">
        <is>
          <t>PTL26-07243</t>
        </is>
      </c>
      <c r="B76" s="6" t="inlineStr">
        <is>
          <t>02/07/2026</t>
        </is>
      </c>
      <c r="C76" s="6" t="inlineStr">
        <is>
          <t>VARIOS COMPRA</t>
        </is>
      </c>
      <c r="D76" s="6" t="inlineStr">
        <is>
          <t>CASH LEVANTE SL</t>
        </is>
      </c>
      <c r="E76" s="4" t="n">
        <v>134.86</v>
      </c>
      <c r="F76" s="6" t="n"/>
    </row>
    <row r="77">
      <c r="A77" s="6" t="inlineStr">
        <is>
          <t>FE26390025724556</t>
        </is>
      </c>
      <c r="B77" s="6" t="inlineStr">
        <is>
          <t>06/07/2026</t>
        </is>
      </c>
      <c r="C77" s="6" t="inlineStr">
        <is>
          <t>NATURGY JUNIO</t>
        </is>
      </c>
      <c r="D77" s="6" t="inlineStr"/>
      <c r="E77" s="4" t="n">
        <v>30.35</v>
      </c>
      <c r="F77" s="6" t="n"/>
    </row>
    <row r="78">
      <c r="A78" s="6" t="inlineStr">
        <is>
          <t>1707159563</t>
        </is>
      </c>
      <c r="B78" s="6" t="inlineStr">
        <is>
          <t>26/06/2026</t>
        </is>
      </c>
      <c r="C78" s="6" t="inlineStr">
        <is>
          <t>SACO PARA POLVO</t>
        </is>
      </c>
      <c r="D78" s="6" t="inlineStr">
        <is>
          <t>HILTI ESPAÑOLA SA</t>
        </is>
      </c>
      <c r="E78" s="4" t="n">
        <v>100.28</v>
      </c>
      <c r="F78" s="6" t="n"/>
    </row>
    <row r="79">
      <c r="A79" s="6" t="inlineStr">
        <is>
          <t>054900026/00002940</t>
        </is>
      </c>
      <c r="B79" s="6" t="inlineStr">
        <is>
          <t>29/06/2026</t>
        </is>
      </c>
      <c r="C79" s="6" t="inlineStr">
        <is>
          <t>REPOSTAJE</t>
        </is>
      </c>
      <c r="D79" s="6" t="inlineStr">
        <is>
          <t>JR VIDAL RICO SL</t>
        </is>
      </c>
      <c r="E79" s="4" t="n">
        <v>65.69</v>
      </c>
      <c r="F79" s="6" t="n"/>
    </row>
    <row r="80">
      <c r="A80" s="6" t="inlineStr">
        <is>
          <t>F/002383-26</t>
        </is>
      </c>
      <c r="B80" s="6" t="inlineStr">
        <is>
          <t>05/06/2026</t>
        </is>
      </c>
      <c r="C80" s="6" t="inlineStr">
        <is>
          <t>MATERIAL</t>
        </is>
      </c>
      <c r="D80" s="6" t="inlineStr">
        <is>
          <t>SUMINISTROS DOMINGUEZ AGUILERA ELDA SL.</t>
        </is>
      </c>
      <c r="E80" s="4" t="n">
        <v>11.83</v>
      </c>
      <c r="F80" s="6" t="n"/>
    </row>
    <row r="81">
      <c r="A81" s="6" t="inlineStr">
        <is>
          <t>F/002396-26</t>
        </is>
      </c>
      <c r="B81" s="6" t="inlineStr">
        <is>
          <t>05/06/2026</t>
        </is>
      </c>
      <c r="C81" s="6" t="inlineStr">
        <is>
          <t>ARANDELAS</t>
        </is>
      </c>
      <c r="D81" s="6" t="inlineStr">
        <is>
          <t>SUMINISTROS DOMINGUEZ AGUILERA ELDA SL.</t>
        </is>
      </c>
      <c r="E81" s="4" t="n">
        <v>43.75</v>
      </c>
      <c r="F81" s="6" t="n"/>
    </row>
    <row r="82">
      <c r="A82" s="6" t="inlineStr">
        <is>
          <t>F/002505-26</t>
        </is>
      </c>
      <c r="B82" s="6" t="inlineStr">
        <is>
          <t>11/06/2026</t>
        </is>
      </c>
      <c r="C82" s="6" t="inlineStr">
        <is>
          <t>FONTANERIA</t>
        </is>
      </c>
      <c r="D82" s="6" t="inlineStr">
        <is>
          <t>SUMINISTROS DOMINGUEZ AGUILERA ELDA SL.</t>
        </is>
      </c>
      <c r="E82" s="4" t="n">
        <v>29.68</v>
      </c>
      <c r="F82" s="6" t="n"/>
    </row>
    <row r="83">
      <c r="A83" s="6" t="inlineStr">
        <is>
          <t>F/002807-26</t>
        </is>
      </c>
      <c r="B83" s="6" t="inlineStr">
        <is>
          <t>02/07/2026</t>
        </is>
      </c>
      <c r="C83" s="6" t="inlineStr">
        <is>
          <t>CONTROLADOR PH</t>
        </is>
      </c>
      <c r="D83" s="6" t="inlineStr">
        <is>
          <t>SUMINISTROS DOMINGUEZ AGUILERA ELDA SL.</t>
        </is>
      </c>
      <c r="E83" s="4" t="n">
        <v>34.83</v>
      </c>
      <c r="F83" s="6" t="n"/>
    </row>
    <row r="84">
      <c r="A84" s="6" t="inlineStr">
        <is>
          <t>A - 077794</t>
        </is>
      </c>
      <c r="B84" s="6" t="inlineStr">
        <is>
          <t>29/06/2026</t>
        </is>
      </c>
      <c r="C84" s="6" t="inlineStr">
        <is>
          <t>MATERIAL OFICINA</t>
        </is>
      </c>
      <c r="D84" s="6" t="inlineStr">
        <is>
          <t>LOPA PAPER SL.</t>
        </is>
      </c>
      <c r="E84" s="4" t="n">
        <v>88.09999999999999</v>
      </c>
      <c r="F84" s="6" t="n"/>
    </row>
    <row r="85">
      <c r="A85" s="6" t="inlineStr">
        <is>
          <t>02605-00</t>
        </is>
      </c>
      <c r="B85" s="6" t="inlineStr">
        <is>
          <t>05/05/2026</t>
        </is>
      </c>
      <c r="C85" s="6" t="inlineStr">
        <is>
          <t>VIA T</t>
        </is>
      </c>
      <c r="D85" s="6" t="inlineStr"/>
      <c r="E85" s="4" t="n">
        <v>2.69</v>
      </c>
      <c r="F85" s="6" t="n"/>
    </row>
    <row r="86">
      <c r="A86" s="6" t="inlineStr">
        <is>
          <t>10229032</t>
        </is>
      </c>
      <c r="B86" s="6" t="inlineStr">
        <is>
          <t>09/06/2026</t>
        </is>
      </c>
      <c r="C86" s="6" t="inlineStr">
        <is>
          <t>REPOSTAJE</t>
        </is>
      </c>
      <c r="D86" s="6" t="inlineStr">
        <is>
          <t>EXPLOTACION ESTACION DE SERVICIO SA</t>
        </is>
      </c>
      <c r="E86" s="4" t="n">
        <v>72.16</v>
      </c>
      <c r="F86" s="6" t="n"/>
    </row>
    <row r="87">
      <c r="A87" s="6" t="inlineStr">
        <is>
          <t>20841706</t>
        </is>
      </c>
      <c r="B87" s="6" t="inlineStr">
        <is>
          <t>16/06/2026</t>
        </is>
      </c>
      <c r="C87" s="6" t="inlineStr">
        <is>
          <t>VARIOS</t>
        </is>
      </c>
      <c r="D87" s="6" t="inlineStr">
        <is>
          <t>DM BRICO SL</t>
        </is>
      </c>
      <c r="E87" s="4" t="n">
        <v>218.18</v>
      </c>
      <c r="F87" s="6" t="n"/>
    </row>
    <row r="88">
      <c r="A88" s="6" t="inlineStr">
        <is>
          <t>105-0006-343393</t>
        </is>
      </c>
      <c r="B88" s="6" t="inlineStr">
        <is>
          <t>23/06/2026</t>
        </is>
      </c>
      <c r="C88" s="6" t="inlineStr">
        <is>
          <t>FOCOS LUZ</t>
        </is>
      </c>
      <c r="D88" s="6" t="inlineStr">
        <is>
          <t>LEROY MERLIN ESPAÑA SL</t>
        </is>
      </c>
      <c r="E88" s="4" t="n">
        <v>66.06999999999999</v>
      </c>
      <c r="F88" s="6" t="n"/>
    </row>
    <row r="89">
      <c r="A89" s="6" t="inlineStr">
        <is>
          <t>105-0006-343390</t>
        </is>
      </c>
      <c r="B89" s="6" t="inlineStr">
        <is>
          <t>23/06/2026</t>
        </is>
      </c>
      <c r="C89" s="6" t="inlineStr">
        <is>
          <t>PH REDUCTOR</t>
        </is>
      </c>
      <c r="D89" s="6" t="inlineStr">
        <is>
          <t>LEROY MERLIN ESPAÑA SL</t>
        </is>
      </c>
      <c r="E89" s="4" t="n">
        <v>19.48</v>
      </c>
      <c r="F89" s="6" t="n"/>
    </row>
    <row r="90">
      <c r="A90" s="6" t="inlineStr">
        <is>
          <t>2602279</t>
        </is>
      </c>
      <c r="B90" s="6" t="inlineStr">
        <is>
          <t>23/06/2026</t>
        </is>
      </c>
      <c r="C90" s="6" t="inlineStr">
        <is>
          <t>RUEDAS</t>
        </is>
      </c>
      <c r="D90" s="6" t="inlineStr">
        <is>
          <t>FERRELDA SL</t>
        </is>
      </c>
      <c r="E90" s="4" t="n">
        <v>20.38</v>
      </c>
      <c r="F90" s="6" t="n"/>
    </row>
    <row r="91">
      <c r="A91" s="6" t="inlineStr">
        <is>
          <t>ES/143704</t>
        </is>
      </c>
      <c r="B91" s="6" t="inlineStr">
        <is>
          <t>24/06/2026</t>
        </is>
      </c>
      <c r="C91" s="6" t="inlineStr">
        <is>
          <t>ROPA LABORAL / BERMUDAS</t>
        </is>
      </c>
      <c r="D91" s="6" t="inlineStr">
        <is>
          <t>FORMATO DIGITAL ACTIVIDADES PUBLICITARIAS SOCIEDAD LIMITADA.</t>
        </is>
      </c>
      <c r="E91" s="4" t="n">
        <v>142.6</v>
      </c>
      <c r="F91" s="6" t="n"/>
    </row>
    <row r="92">
      <c r="A92" s="6" t="inlineStr">
        <is>
          <t>ES6TE5N4AEUD</t>
        </is>
      </c>
      <c r="B92" s="6" t="inlineStr">
        <is>
          <t>04/05/2026</t>
        </is>
      </c>
      <c r="C92" s="6" t="inlineStr">
        <is>
          <t>COLCHA</t>
        </is>
      </c>
      <c r="D92" s="6" t="inlineStr">
        <is>
          <t>AMAZON EU SARL LUXEMBURGO</t>
        </is>
      </c>
      <c r="E92" s="4" t="n">
        <v>50.4</v>
      </c>
      <c r="F92" s="6" t="n"/>
    </row>
    <row r="93">
      <c r="A93" s="6" t="inlineStr">
        <is>
          <t>ES61HZ5BAEUI</t>
        </is>
      </c>
      <c r="B93" s="6" t="inlineStr">
        <is>
          <t>18/05/2026</t>
        </is>
      </c>
      <c r="C93" s="6" t="inlineStr">
        <is>
          <t>COMPRA AMAZON</t>
        </is>
      </c>
      <c r="D93" s="6" t="inlineStr">
        <is>
          <t>AMAZON EU SARL SUCURSAL EN ESPAÑA.</t>
        </is>
      </c>
      <c r="E93" s="4" t="n">
        <v>28.92</v>
      </c>
      <c r="F93" s="6" t="n"/>
    </row>
    <row r="94">
      <c r="A94" s="6" t="inlineStr">
        <is>
          <t>ES6X86BMAEUD</t>
        </is>
      </c>
      <c r="B94" s="6" t="inlineStr">
        <is>
          <t>19/05/2026</t>
        </is>
      </c>
      <c r="C94" s="6" t="inlineStr">
        <is>
          <t>FUNDA JARDIN</t>
        </is>
      </c>
      <c r="D94" s="6" t="inlineStr">
        <is>
          <t>AMAZON EU SARL LUXEMBURGO</t>
        </is>
      </c>
      <c r="E94" s="4" t="n">
        <v>53.71</v>
      </c>
      <c r="F94" s="6" t="n"/>
    </row>
    <row r="95">
      <c r="A95" s="6" t="inlineStr">
        <is>
          <t>ES6XPKOKAEUD</t>
        </is>
      </c>
      <c r="B95" s="6" t="inlineStr">
        <is>
          <t>21/05/2026</t>
        </is>
      </c>
      <c r="C95" s="6" t="inlineStr">
        <is>
          <t>PAGO TJ AMAZON</t>
        </is>
      </c>
      <c r="D95" s="6" t="inlineStr">
        <is>
          <t>AMAZON EU SARL LUXEMBURGO</t>
        </is>
      </c>
      <c r="E95" s="4" t="n">
        <v>40.25</v>
      </c>
      <c r="F95" s="6" t="n"/>
    </row>
    <row r="96">
      <c r="A96" s="6" t="inlineStr">
        <is>
          <t>ES6Z0P9ZAEUD</t>
        </is>
      </c>
      <c r="B96" s="6" t="inlineStr">
        <is>
          <t>26/05/2026</t>
        </is>
      </c>
      <c r="C96" s="6" t="inlineStr">
        <is>
          <t>PAGO TJ AMAZON</t>
        </is>
      </c>
      <c r="D96" s="6" t="inlineStr">
        <is>
          <t>AMAZON EU SARL LUXEMBURGO</t>
        </is>
      </c>
      <c r="E96" s="4" t="n">
        <v>24.29</v>
      </c>
      <c r="F96" s="6" t="n"/>
    </row>
    <row r="97">
      <c r="A97" s="6" t="inlineStr">
        <is>
          <t>01/00008</t>
        </is>
      </c>
      <c r="B97" s="6" t="inlineStr">
        <is>
          <t>24/05/2026</t>
        </is>
      </c>
      <c r="C97" s="6" t="inlineStr">
        <is>
          <t>HORAS JARDINERIA</t>
        </is>
      </c>
      <c r="D97" s="6" t="inlineStr">
        <is>
          <t>MARCOS GALIANO POVEDA</t>
        </is>
      </c>
      <c r="E97" s="4" t="n">
        <v>178</v>
      </c>
      <c r="F97" s="6" t="n"/>
    </row>
    <row r="98">
      <c r="A98" s="6" t="inlineStr">
        <is>
          <t>ES6X14S6AEUD</t>
        </is>
      </c>
      <c r="B98" s="6" t="inlineStr">
        <is>
          <t>18/05/2026</t>
        </is>
      </c>
      <c r="C98" s="6" t="inlineStr">
        <is>
          <t>ARRANCADOR COCHE</t>
        </is>
      </c>
      <c r="D98" s="6" t="inlineStr">
        <is>
          <t>AMAZON EU SARL LUXEMBURGO</t>
        </is>
      </c>
      <c r="E98" s="4" t="n">
        <v>57.84</v>
      </c>
      <c r="F98" s="6" t="n"/>
    </row>
    <row r="99">
      <c r="A99" s="6" t="inlineStr">
        <is>
          <t>062-0006-202651</t>
        </is>
      </c>
      <c r="B99" s="6" t="inlineStr">
        <is>
          <t>16/06/2026</t>
        </is>
      </c>
      <c r="C99" s="6" t="inlineStr">
        <is>
          <t>VARIOS</t>
        </is>
      </c>
      <c r="D99" s="6" t="inlineStr">
        <is>
          <t>LEROY MERLIN ESPAÑA SL</t>
        </is>
      </c>
      <c r="E99" s="4" t="n">
        <v>27.26</v>
      </c>
      <c r="F99" s="6" t="n"/>
    </row>
    <row r="100">
      <c r="A100" s="6" t="inlineStr">
        <is>
          <t>026-0005-491653</t>
        </is>
      </c>
      <c r="B100" s="6" t="inlineStr">
        <is>
          <t>05/05/2026</t>
        </is>
      </c>
      <c r="C100" s="6" t="inlineStr">
        <is>
          <t>CALZADO LABORAL</t>
        </is>
      </c>
      <c r="D100" s="6" t="inlineStr">
        <is>
          <t>BRICOLAJE BRICOMAN SLU</t>
        </is>
      </c>
      <c r="E100" s="4" t="n">
        <v>79.67</v>
      </c>
      <c r="F100" s="6" t="n"/>
    </row>
    <row r="101">
      <c r="A101" s="6" t="inlineStr">
        <is>
          <t>F260253181</t>
        </is>
      </c>
      <c r="B101" s="6" t="inlineStr">
        <is>
          <t>21/05/2026</t>
        </is>
      </c>
      <c r="C101" s="6" t="inlineStr">
        <is>
          <t>HOLDED MAYO</t>
        </is>
      </c>
      <c r="D101" s="6" t="inlineStr">
        <is>
          <t>HOLDED TECHNOLOGIES SL.</t>
        </is>
      </c>
      <c r="E101" s="4" t="n">
        <v>59</v>
      </c>
      <c r="F101" s="6" t="n"/>
    </row>
    <row r="102">
      <c r="A102" s="6" t="inlineStr">
        <is>
          <t>377</t>
        </is>
      </c>
      <c r="B102" s="6" t="inlineStr">
        <is>
          <t>31/05/2026</t>
        </is>
      </c>
      <c r="C102" s="6" t="inlineStr">
        <is>
          <t>ASESORÍA MAYO</t>
        </is>
      </c>
      <c r="D102" s="6" t="inlineStr"/>
      <c r="E102" s="4" t="n">
        <v>260</v>
      </c>
      <c r="F102" s="6" t="n"/>
    </row>
    <row r="103">
      <c r="A103" s="6" t="inlineStr">
        <is>
          <t>062-0006-194616</t>
        </is>
      </c>
      <c r="B103" s="6" t="inlineStr">
        <is>
          <t>02/06/2026</t>
        </is>
      </c>
      <c r="C103" s="6" t="inlineStr">
        <is>
          <t>MATERIAL</t>
        </is>
      </c>
      <c r="D103" s="6" t="inlineStr">
        <is>
          <t>LEROY MERLIN ESPAÑA SL</t>
        </is>
      </c>
      <c r="E103" s="4" t="n">
        <v>15.19</v>
      </c>
      <c r="F103" s="6" t="n"/>
    </row>
    <row r="104">
      <c r="A104" s="6" t="inlineStr">
        <is>
          <t>FE26390022197863</t>
        </is>
      </c>
      <c r="B104" s="6" t="inlineStr">
        <is>
          <t>08/06/2026</t>
        </is>
      </c>
      <c r="C104" s="6" t="inlineStr">
        <is>
          <t>NATURGY MAYO</t>
        </is>
      </c>
      <c r="D104" s="6" t="inlineStr"/>
      <c r="E104" s="4" t="n">
        <v>25.3</v>
      </c>
      <c r="F104" s="6" t="n"/>
    </row>
    <row r="105">
      <c r="A105" s="6" t="inlineStr">
        <is>
          <t>1.708,00</t>
        </is>
      </c>
      <c r="B105" s="6" t="inlineStr">
        <is>
          <t>16/06/2026</t>
        </is>
      </c>
      <c r="C105" s="6" t="inlineStr">
        <is>
          <t>MAQUINA MULTIHERRAMIENTA</t>
        </is>
      </c>
      <c r="D105" s="6" t="inlineStr">
        <is>
          <t>DETECTALIA EUROPE SL</t>
        </is>
      </c>
      <c r="E105" s="4" t="n">
        <v>3304.96</v>
      </c>
      <c r="F105" s="6" t="n"/>
    </row>
    <row r="106">
      <c r="A106" s="6" t="inlineStr">
        <is>
          <t>2026-0188</t>
        </is>
      </c>
      <c r="B106" s="6" t="inlineStr">
        <is>
          <t>01/06/2026</t>
        </is>
      </c>
      <c r="C106" s="6" t="inlineStr">
        <is>
          <t>ASESORAMIENTO CONTABLE FISCAL JUNIO</t>
        </is>
      </c>
      <c r="D106" s="6" t="inlineStr"/>
      <c r="E106" s="4" t="n">
        <v>360.15</v>
      </c>
      <c r="F106" s="6" t="n"/>
    </row>
    <row r="107">
      <c r="A107" s="6" t="inlineStr">
        <is>
          <t>26MET01129</t>
        </is>
      </c>
      <c r="B107" s="6" t="inlineStr">
        <is>
          <t>01/04/2026</t>
        </is>
      </c>
      <c r="C107" s="6" t="inlineStr">
        <is>
          <t>REPOSTAJE</t>
        </is>
      </c>
      <c r="D107" s="6" t="inlineStr">
        <is>
          <t>FLASH-CAR LEVANTE SERVICIOS SL</t>
        </is>
      </c>
      <c r="E107" s="4" t="n">
        <v>8.26</v>
      </c>
      <c r="F107" s="6" t="n"/>
    </row>
    <row r="108">
      <c r="A108" s="6" t="inlineStr">
        <is>
          <t>260256</t>
        </is>
      </c>
      <c r="B108" s="6" t="inlineStr">
        <is>
          <t>11/05/2026</t>
        </is>
      </c>
      <c r="C108" s="6" t="inlineStr">
        <is>
          <t>TAPON LATON</t>
        </is>
      </c>
      <c r="D108" s="6" t="inlineStr">
        <is>
          <t>ROSALIA MARTINEZ RUIZ</t>
        </is>
      </c>
      <c r="E108" s="4" t="n">
        <v>1.69</v>
      </c>
      <c r="F108" s="6" t="n"/>
    </row>
    <row r="109">
      <c r="A109" s="6" t="inlineStr">
        <is>
          <t>26FP001018</t>
        </is>
      </c>
      <c r="B109" s="6" t="inlineStr">
        <is>
          <t>25/05/2026</t>
        </is>
      </c>
      <c r="C109" s="6" t="inlineStr">
        <is>
          <t>REPOSTAJE</t>
        </is>
      </c>
      <c r="D109" s="6" t="inlineStr">
        <is>
          <t>E.S. PINOSO S.L.</t>
        </is>
      </c>
      <c r="E109" s="4" t="n">
        <v>82.22</v>
      </c>
      <c r="F109" s="6" t="n"/>
    </row>
    <row r="110">
      <c r="A110" s="6" t="inlineStr">
        <is>
          <t>014/26</t>
        </is>
      </c>
      <c r="B110" s="6" t="inlineStr">
        <is>
          <t>26/05/2026</t>
        </is>
      </c>
      <c r="C110" s="6" t="inlineStr">
        <is>
          <t>ROPA LABORAL</t>
        </is>
      </c>
      <c r="D110" s="6" t="inlineStr">
        <is>
          <t>CHINAWIN IBERICA SL</t>
        </is>
      </c>
      <c r="E110" s="4" t="n">
        <v>46.28</v>
      </c>
      <c r="F110" s="6" t="n"/>
    </row>
    <row r="111">
      <c r="A111" s="6" t="inlineStr">
        <is>
          <t>005710/A/26/000556</t>
        </is>
      </c>
      <c r="B111" s="6" t="inlineStr">
        <is>
          <t>31/05/2026</t>
        </is>
      </c>
      <c r="C111" s="6" t="inlineStr">
        <is>
          <t>REPOSTAJE</t>
        </is>
      </c>
      <c r="D111" s="6" t="inlineStr">
        <is>
          <t>REPSOL SOLUCIONES ENERGETICAS SA.</t>
        </is>
      </c>
      <c r="E111" s="4" t="n">
        <v>55.23</v>
      </c>
      <c r="F111" s="6" t="n"/>
    </row>
    <row r="112">
      <c r="A112" s="6" t="inlineStr">
        <is>
          <t>6</t>
        </is>
      </c>
      <c r="B112" s="6" t="inlineStr">
        <is>
          <t>01/06/2026</t>
        </is>
      </c>
      <c r="C112" s="6" t="inlineStr">
        <is>
          <t>ALQUILER NAVE JUNIO</t>
        </is>
      </c>
      <c r="D112" s="6" t="inlineStr">
        <is>
          <t>PINKY VELVET INTERNATIONAL SL</t>
        </is>
      </c>
      <c r="E112" s="4" t="n">
        <v>350</v>
      </c>
      <c r="F112" s="6" t="n"/>
    </row>
    <row r="113">
      <c r="A113" s="6" t="inlineStr">
        <is>
          <t>202634415</t>
        </is>
      </c>
      <c r="B113" s="6" t="inlineStr">
        <is>
          <t>04/06/2026</t>
        </is>
      </c>
      <c r="C113" s="6" t="inlineStr">
        <is>
          <t>CONECTA 3 - MAYO</t>
        </is>
      </c>
      <c r="D113" s="6" t="inlineStr"/>
      <c r="E113" s="4" t="n">
        <v>34.53</v>
      </c>
      <c r="F113" s="6" t="n"/>
    </row>
    <row r="114">
      <c r="A114" s="6" t="inlineStr">
        <is>
          <t>f/002361-26</t>
        </is>
      </c>
      <c r="B114" s="6" t="inlineStr">
        <is>
          <t>04/06/2026</t>
        </is>
      </c>
      <c r="C114" s="6" t="inlineStr">
        <is>
          <t>TAPA POROS HIERRO GALVANIZADO</t>
        </is>
      </c>
      <c r="D114" s="6" t="inlineStr">
        <is>
          <t>SUMINISTROS DOMINGUEZ AGUILERA ELDA SL.</t>
        </is>
      </c>
      <c r="E114" s="4" t="n">
        <v>17</v>
      </c>
      <c r="F114" s="6" t="n"/>
    </row>
    <row r="115">
      <c r="A115" s="6" t="inlineStr">
        <is>
          <t>FV26-015025</t>
        </is>
      </c>
      <c r="B115" s="6" t="inlineStr">
        <is>
          <t>05/06/2026</t>
        </is>
      </c>
      <c r="C115" s="6" t="inlineStr">
        <is>
          <t>ARANDELAS</t>
        </is>
      </c>
      <c r="D115" s="6" t="inlineStr">
        <is>
          <t>HIJOS DE JOSE BUSQUIER SL</t>
        </is>
      </c>
      <c r="E115" s="4" t="n">
        <v>10.8</v>
      </c>
      <c r="F115" s="6" t="n"/>
    </row>
    <row r="116">
      <c r="A116" s="6" t="inlineStr">
        <is>
          <t>2026/A-3098</t>
        </is>
      </c>
      <c r="B116" s="6" t="inlineStr">
        <is>
          <t>31/05/2026</t>
        </is>
      </c>
      <c r="C116" s="6" t="inlineStr">
        <is>
          <t>PINTURA</t>
        </is>
      </c>
      <c r="D116" s="6" t="inlineStr">
        <is>
          <t>PINTURAS IDELLA SL.</t>
        </is>
      </c>
      <c r="E116" s="4" t="n">
        <v>140.21</v>
      </c>
      <c r="F116" s="6" t="n"/>
    </row>
    <row r="117">
      <c r="A117" s="6" t="inlineStr">
        <is>
          <t>V-26-05-21273</t>
        </is>
      </c>
      <c r="B117" s="6" t="inlineStr">
        <is>
          <t>31/05/2026</t>
        </is>
      </c>
      <c r="C117" s="6" t="inlineStr">
        <is>
          <t>PLENOIL MAYO</t>
        </is>
      </c>
      <c r="D117" s="6" t="inlineStr">
        <is>
          <t>PLENOIL SL.</t>
        </is>
      </c>
      <c r="E117" s="4" t="n">
        <v>1764.79</v>
      </c>
      <c r="F117" s="6" t="n"/>
    </row>
    <row r="118">
      <c r="A118" s="6" t="inlineStr">
        <is>
          <t>299</t>
        </is>
      </c>
      <c r="B118" s="6" t="inlineStr">
        <is>
          <t>30/04/2026</t>
        </is>
      </c>
      <c r="C118" s="6" t="inlineStr">
        <is>
          <t>ASESORAMIENTO LABORAL ABRIL</t>
        </is>
      </c>
      <c r="D118" s="6" t="inlineStr"/>
      <c r="E118" s="4" t="n">
        <v>260</v>
      </c>
      <c r="F118" s="6" t="n"/>
    </row>
    <row r="119">
      <c r="A119" s="6" t="inlineStr">
        <is>
          <t>2601845</t>
        </is>
      </c>
      <c r="B119" s="6" t="inlineStr">
        <is>
          <t>23/05/2026</t>
        </is>
      </c>
      <c r="C119" s="6" t="inlineStr">
        <is>
          <t>MALLA GALLINERO</t>
        </is>
      </c>
      <c r="D119" s="6" t="inlineStr">
        <is>
          <t>FERRELDA SL</t>
        </is>
      </c>
      <c r="E119" s="4" t="n">
        <v>92.98999999999999</v>
      </c>
      <c r="F119" s="6" t="n"/>
    </row>
    <row r="120">
      <c r="A120" s="6" t="inlineStr">
        <is>
          <t>F/002284-26</t>
        </is>
      </c>
      <c r="B120" s="6" t="inlineStr">
        <is>
          <t>28/05/2026</t>
        </is>
      </c>
      <c r="C120" s="6" t="inlineStr">
        <is>
          <t>CLORO PISCINA</t>
        </is>
      </c>
      <c r="D120" s="6" t="inlineStr">
        <is>
          <t>SUMINISTROS DOMINGUEZ AGUILERA ELDA SL.</t>
        </is>
      </c>
      <c r="E120" s="4" t="n">
        <v>18.79</v>
      </c>
      <c r="F120" s="6" t="n"/>
    </row>
    <row r="121">
      <c r="A121" s="6" t="inlineStr">
        <is>
          <t>623973</t>
        </is>
      </c>
      <c r="B121" s="6" t="inlineStr">
        <is>
          <t>27/05/2026</t>
        </is>
      </c>
      <c r="C121" s="6" t="inlineStr">
        <is>
          <t>PRESUPUESTO 623973</t>
        </is>
      </c>
      <c r="D121" s="6" t="inlineStr">
        <is>
          <t>LEROY MERLIN ESPAÑA SL</t>
        </is>
      </c>
      <c r="E121" s="4" t="n">
        <v>313.22</v>
      </c>
      <c r="F121" s="6" t="n"/>
    </row>
    <row r="122">
      <c r="A122" s="6" t="inlineStr">
        <is>
          <t>062-0005-181112</t>
        </is>
      </c>
      <c r="B122" s="6" t="inlineStr">
        <is>
          <t>07/05/2026</t>
        </is>
      </c>
      <c r="C122" s="6" t="inlineStr">
        <is>
          <t>MATERIAL</t>
        </is>
      </c>
      <c r="D122" s="6" t="inlineStr">
        <is>
          <t>LEROY MERLIN ESPAÑA SL</t>
        </is>
      </c>
      <c r="E122" s="4" t="n">
        <v>43.87</v>
      </c>
      <c r="F122" s="6" t="n"/>
    </row>
    <row r="123">
      <c r="A123" s="6" t="inlineStr">
        <is>
          <t>2026/A-2796</t>
        </is>
      </c>
      <c r="B123" s="6" t="inlineStr">
        <is>
          <t>15/05/2026</t>
        </is>
      </c>
      <c r="C123" s="6" t="inlineStr">
        <is>
          <t>PINTURA</t>
        </is>
      </c>
      <c r="D123" s="6" t="inlineStr">
        <is>
          <t>PINTURAS IDELLA SL.</t>
        </is>
      </c>
      <c r="E123" s="4" t="n">
        <v>161.32</v>
      </c>
      <c r="F123" s="6" t="n"/>
    </row>
    <row r="124">
      <c r="A124" s="6" t="inlineStr">
        <is>
          <t>FV26-02386</t>
        </is>
      </c>
      <c r="B124" s="6" t="inlineStr">
        <is>
          <t>15/05/2026</t>
        </is>
      </c>
      <c r="C124" s="6" t="inlineStr">
        <is>
          <t>MATERIAL OBRA</t>
        </is>
      </c>
      <c r="D124" s="6" t="inlineStr">
        <is>
          <t>LA AVENIDA CERAMICAS SL.</t>
        </is>
      </c>
      <c r="E124" s="4" t="n">
        <v>1096.03</v>
      </c>
      <c r="F124" s="6" t="n"/>
    </row>
    <row r="125">
      <c r="A125" s="6" t="inlineStr">
        <is>
          <t>PTL26-05515</t>
        </is>
      </c>
      <c r="B125" s="6" t="inlineStr">
        <is>
          <t>21/05/2026</t>
        </is>
      </c>
      <c r="C125" s="6" t="inlineStr">
        <is>
          <t>VARIOS</t>
        </is>
      </c>
      <c r="D125" s="6" t="inlineStr">
        <is>
          <t>CASH LEVANTE SL</t>
        </is>
      </c>
      <c r="E125" s="4" t="n">
        <v>86.34999999999999</v>
      </c>
      <c r="F125" s="6" t="n"/>
    </row>
    <row r="126">
      <c r="A126" s="6" t="inlineStr">
        <is>
          <t>2026/1663</t>
        </is>
      </c>
      <c r="B126" s="6" t="inlineStr">
        <is>
          <t>25/05/2026</t>
        </is>
      </c>
      <c r="C126" s="6" t="inlineStr">
        <is>
          <t>SERVICIO REPARACION</t>
        </is>
      </c>
      <c r="D126" s="6" t="inlineStr">
        <is>
          <t>EVOTEK FUTURE SL.</t>
        </is>
      </c>
      <c r="E126" s="4" t="n">
        <v>78.51000000000001</v>
      </c>
      <c r="F126" s="6" t="n"/>
    </row>
    <row r="127">
      <c r="A127" s="6" t="inlineStr">
        <is>
          <t>621610290004972 BIS</t>
        </is>
      </c>
      <c r="B127" s="6" t="inlineStr">
        <is>
          <t>20/05/2026</t>
        </is>
      </c>
      <c r="C127" s="6" t="inlineStr">
        <is>
          <t>IVA NO DEDUCIBLE</t>
        </is>
      </c>
      <c r="D127" s="6" t="inlineStr">
        <is>
          <t>ACTION RETAIL SPAIN SL.</t>
        </is>
      </c>
      <c r="E127" s="4" t="n">
        <v>0.86</v>
      </c>
      <c r="F127" s="6" t="n"/>
    </row>
    <row r="128">
      <c r="A128" s="6" t="inlineStr">
        <is>
          <t>622168</t>
        </is>
      </c>
      <c r="B128" s="6" t="inlineStr">
        <is>
          <t>18/05/2026</t>
        </is>
      </c>
      <c r="C128" s="6" t="inlineStr">
        <is>
          <t>PRESUPUESTO 622168</t>
        </is>
      </c>
      <c r="D128" s="6" t="inlineStr">
        <is>
          <t>LEROY MERLIN ESPAÑA SL</t>
        </is>
      </c>
      <c r="E128" s="4" t="n">
        <v>3981.68</v>
      </c>
      <c r="F128" s="6" t="n"/>
    </row>
    <row r="129">
      <c r="A129" s="6" t="inlineStr">
        <is>
          <t>2026-0119</t>
        </is>
      </c>
      <c r="B129" s="6" t="inlineStr">
        <is>
          <t>01/04/2026</t>
        </is>
      </c>
      <c r="C129" s="6" t="inlineStr">
        <is>
          <t>ASESORAMIENTO</t>
        </is>
      </c>
      <c r="D129" s="6" t="inlineStr"/>
      <c r="E129" s="4" t="n">
        <v>360.15</v>
      </c>
      <c r="F129" s="6" t="n"/>
    </row>
    <row r="130">
      <c r="A130" s="6" t="inlineStr">
        <is>
          <t>ES60002QHM0XHI</t>
        </is>
      </c>
      <c r="B130" s="6" t="inlineStr">
        <is>
          <t>16/04/2026</t>
        </is>
      </c>
      <c r="C130" s="6" t="inlineStr">
        <is>
          <t>VENTOSA VIBRADORA</t>
        </is>
      </c>
      <c r="D130" s="6" t="inlineStr">
        <is>
          <t>DIAMOND-SERVICE PRO TOOLS SL.</t>
        </is>
      </c>
      <c r="E130" s="4" t="n">
        <v>163.64</v>
      </c>
      <c r="F130" s="6" t="n"/>
    </row>
    <row r="131">
      <c r="A131" s="6" t="inlineStr">
        <is>
          <t>ES6PJKKQAEUD</t>
        </is>
      </c>
      <c r="B131" s="6" t="inlineStr">
        <is>
          <t>16/04/2026</t>
        </is>
      </c>
      <c r="C131" s="6" t="inlineStr">
        <is>
          <t>INFLADORA</t>
        </is>
      </c>
      <c r="D131" s="6" t="inlineStr">
        <is>
          <t>AMAZON EU SARL LUXEMBURGO</t>
        </is>
      </c>
      <c r="E131" s="4" t="n">
        <v>19.99</v>
      </c>
      <c r="F131" s="6" t="n"/>
    </row>
    <row r="132">
      <c r="A132" s="6" t="inlineStr">
        <is>
          <t>ES6000ABL37FLI</t>
        </is>
      </c>
      <c r="B132" s="6" t="inlineStr">
        <is>
          <t>16/04/2026</t>
        </is>
      </c>
      <c r="C132" s="6" t="inlineStr">
        <is>
          <t>ALMODILLA PULIDO DIAMANTE</t>
        </is>
      </c>
      <c r="D132" s="6" t="inlineStr">
        <is>
          <t>EASTAR SUPER HARD TOOLS SOCIEDAD LIMITADA.</t>
        </is>
      </c>
      <c r="E132" s="4" t="n">
        <v>40.04</v>
      </c>
      <c r="F132" s="6" t="n"/>
    </row>
    <row r="133">
      <c r="A133" s="6" t="inlineStr">
        <is>
          <t>ES6PVYHFAEUD</t>
        </is>
      </c>
      <c r="B133" s="6" t="inlineStr">
        <is>
          <t>18/04/2026</t>
        </is>
      </c>
      <c r="C133" s="6" t="inlineStr">
        <is>
          <t>GRIFO</t>
        </is>
      </c>
      <c r="D133" s="6" t="inlineStr">
        <is>
          <t>AMAZON EU SARL LUXEMBURGO</t>
        </is>
      </c>
      <c r="E133" s="4" t="n">
        <v>117.35</v>
      </c>
      <c r="F133" s="6" t="n"/>
    </row>
    <row r="134">
      <c r="A134" s="6" t="inlineStr">
        <is>
          <t>ES617EMVAEUI</t>
        </is>
      </c>
      <c r="B134" s="6" t="inlineStr">
        <is>
          <t>20/04/2026</t>
        </is>
      </c>
      <c r="C134" s="6" t="inlineStr">
        <is>
          <t>citronela</t>
        </is>
      </c>
      <c r="D134" s="6" t="inlineStr">
        <is>
          <t>AMAZON EU SARL SUCURSAL EN ESPAÑA.</t>
        </is>
      </c>
      <c r="E134" s="4" t="n">
        <v>6.12</v>
      </c>
      <c r="F134" s="6" t="n"/>
    </row>
    <row r="135">
      <c r="A135" s="6" t="inlineStr">
        <is>
          <t>NL600C2QAQQ1TU</t>
        </is>
      </c>
      <c r="B135" s="6" t="inlineStr">
        <is>
          <t>22/04/2026</t>
        </is>
      </c>
      <c r="C135" s="6" t="inlineStr">
        <is>
          <t>ETIQUETS</t>
        </is>
      </c>
      <c r="D135" s="6" t="inlineStr"/>
      <c r="E135" s="4" t="n">
        <v>8.26</v>
      </c>
      <c r="F135" s="6" t="n"/>
    </row>
    <row r="136">
      <c r="A136" s="6" t="inlineStr">
        <is>
          <t>LU624SXPDAEUI</t>
        </is>
      </c>
      <c r="B136" s="6" t="inlineStr">
        <is>
          <t>22/04/2026</t>
        </is>
      </c>
      <c r="C136" s="6" t="inlineStr">
        <is>
          <t>CANTU acondicionador</t>
        </is>
      </c>
      <c r="D136" s="6" t="inlineStr">
        <is>
          <t>AMAZON EU SARL SUCURSAL EN ESPAÑA.</t>
        </is>
      </c>
      <c r="E136" s="4" t="n">
        <v>4.84</v>
      </c>
      <c r="F136" s="6" t="n"/>
    </row>
    <row r="137">
      <c r="A137" s="6" t="inlineStr">
        <is>
          <t>ES6193J1AEUI</t>
        </is>
      </c>
      <c r="B137" s="6" t="inlineStr">
        <is>
          <t>24/04/2026</t>
        </is>
      </c>
      <c r="C137" s="6" t="inlineStr">
        <is>
          <t>DISPENSADOR AGUA</t>
        </is>
      </c>
      <c r="D137" s="6" t="inlineStr">
        <is>
          <t>AMAZON EU SARL SUCURSAL EN ESPAÑA.</t>
        </is>
      </c>
      <c r="E137" s="4" t="n">
        <v>8.23</v>
      </c>
      <c r="F137" s="6" t="n"/>
    </row>
    <row r="138">
      <c r="A138" s="6" t="inlineStr">
        <is>
          <t>ES600897G8NPRI</t>
        </is>
      </c>
      <c r="B138" s="6" t="inlineStr">
        <is>
          <t>24/04/2026</t>
        </is>
      </c>
      <c r="C138" s="6" t="inlineStr">
        <is>
          <t>BOMBILLAS</t>
        </is>
      </c>
      <c r="D138" s="6" t="inlineStr">
        <is>
          <t>AIGOTECH ONSYNK SL</t>
        </is>
      </c>
      <c r="E138" s="4" t="n">
        <v>33.75</v>
      </c>
      <c r="F138" s="6" t="n"/>
    </row>
    <row r="139">
      <c r="A139" s="6" t="inlineStr">
        <is>
          <t>ES6SBYU8AEUD</t>
        </is>
      </c>
      <c r="B139" s="6" t="inlineStr">
        <is>
          <t>28/04/2026</t>
        </is>
      </c>
      <c r="C139" s="6" t="inlineStr">
        <is>
          <t>SOPORTE MADERA</t>
        </is>
      </c>
      <c r="D139" s="6" t="inlineStr">
        <is>
          <t>AMAZON EU SARL LUXEMBURGO</t>
        </is>
      </c>
      <c r="E139" s="4" t="n">
        <v>17.97</v>
      </c>
      <c r="F139" s="6" t="n"/>
    </row>
    <row r="140">
      <c r="A140" s="6" t="inlineStr">
        <is>
          <t>2026-0151</t>
        </is>
      </c>
      <c r="B140" s="6" t="inlineStr">
        <is>
          <t>04/05/2026</t>
        </is>
      </c>
      <c r="C140" s="6" t="inlineStr">
        <is>
          <t>ASESORAMIENTO CONTABLE-FISCAL</t>
        </is>
      </c>
      <c r="D140" s="6" t="inlineStr"/>
      <c r="E140" s="4" t="n">
        <v>360.15</v>
      </c>
      <c r="F140" s="6" t="n"/>
    </row>
    <row r="141">
      <c r="A141" s="6" t="inlineStr">
        <is>
          <t>013/26</t>
        </is>
      </c>
      <c r="B141" s="6" t="inlineStr">
        <is>
          <t>20/05/2026</t>
        </is>
      </c>
      <c r="C141" s="6" t="inlineStr">
        <is>
          <t>CHALECO</t>
        </is>
      </c>
      <c r="D141" s="6" t="inlineStr">
        <is>
          <t>CHINAWIN IBERICA SL</t>
        </is>
      </c>
      <c r="E141" s="4" t="n">
        <v>70.25</v>
      </c>
      <c r="F141" s="6" t="n"/>
    </row>
    <row r="142">
      <c r="A142" s="6" t="inlineStr">
        <is>
          <t>602104136</t>
        </is>
      </c>
      <c r="B142" s="6" t="inlineStr">
        <is>
          <t>14/05/2026</t>
        </is>
      </c>
      <c r="C142" s="6" t="inlineStr">
        <is>
          <t>TUBO GOTEO</t>
        </is>
      </c>
      <c r="D142" s="6" t="inlineStr">
        <is>
          <t>COMERFONSA SL</t>
        </is>
      </c>
      <c r="E142" s="4" t="n">
        <v>70.27</v>
      </c>
      <c r="F142" s="6" t="n"/>
    </row>
    <row r="143">
      <c r="A143" s="6" t="inlineStr">
        <is>
          <t>FV26-013108</t>
        </is>
      </c>
      <c r="B143" s="6" t="inlineStr">
        <is>
          <t>14/05/2026</t>
        </is>
      </c>
      <c r="C143" s="6" t="inlineStr">
        <is>
          <t>CEMENTO/RESINA</t>
        </is>
      </c>
      <c r="D143" s="6" t="inlineStr">
        <is>
          <t>HIJOS DE JOSE BUSQUIER SL</t>
        </is>
      </c>
      <c r="E143" s="4" t="n">
        <v>18.53</v>
      </c>
      <c r="F143" s="6" t="n"/>
    </row>
    <row r="144">
      <c r="A144" s="6" t="inlineStr">
        <is>
          <t>PTL26-05264</t>
        </is>
      </c>
      <c r="B144" s="6" t="inlineStr">
        <is>
          <t>15/05/2026</t>
        </is>
      </c>
      <c r="C144" s="6" t="inlineStr">
        <is>
          <t>VARIOS</t>
        </is>
      </c>
      <c r="D144" s="6" t="inlineStr">
        <is>
          <t>CASH LEVANTE SL</t>
        </is>
      </c>
      <c r="E144" s="4" t="n">
        <v>47.5</v>
      </c>
      <c r="F144" s="6" t="n"/>
    </row>
    <row r="145">
      <c r="A145" s="6" t="inlineStr">
        <is>
          <t>F/002066-26</t>
        </is>
      </c>
      <c r="B145" s="6" t="inlineStr">
        <is>
          <t>15/05/2026</t>
        </is>
      </c>
      <c r="C145" s="6" t="inlineStr">
        <is>
          <t>VARIOS</t>
        </is>
      </c>
      <c r="D145" s="6" t="inlineStr">
        <is>
          <t>SUMINISTROS DOMINGUEZ AGUILERA ELDA SL.</t>
        </is>
      </c>
      <c r="E145" s="4" t="n">
        <v>17.96</v>
      </c>
      <c r="F145" s="6" t="n"/>
    </row>
    <row r="146">
      <c r="A146" s="6" t="inlineStr">
        <is>
          <t>602104187</t>
        </is>
      </c>
      <c r="B146" s="6" t="inlineStr">
        <is>
          <t>18/05/2026</t>
        </is>
      </c>
      <c r="C146" s="6" t="inlineStr">
        <is>
          <t>MANGUERA</t>
        </is>
      </c>
      <c r="D146" s="6" t="inlineStr">
        <is>
          <t>COMERFONSA SL</t>
        </is>
      </c>
      <c r="E146" s="4" t="n">
        <v>18.99</v>
      </c>
      <c r="F146" s="6" t="n"/>
    </row>
    <row r="147">
      <c r="A147" s="6" t="inlineStr">
        <is>
          <t>F/002102-26</t>
        </is>
      </c>
      <c r="B147" s="6" t="inlineStr">
        <is>
          <t>18/05/2026</t>
        </is>
      </c>
      <c r="C147" s="6" t="inlineStr">
        <is>
          <t>VARIOS</t>
        </is>
      </c>
      <c r="D147" s="6" t="inlineStr">
        <is>
          <t>SUMINISTROS DOMINGUEZ AGUILERA ELDA SL.</t>
        </is>
      </c>
      <c r="E147" s="4" t="n">
        <v>69.44</v>
      </c>
      <c r="F147" s="6" t="n"/>
    </row>
    <row r="148">
      <c r="A148" s="6" t="inlineStr">
        <is>
          <t>FV26-013723</t>
        </is>
      </c>
      <c r="B148" s="6" t="inlineStr">
        <is>
          <t>20/05/2026</t>
        </is>
      </c>
      <c r="C148" s="6" t="inlineStr">
        <is>
          <t>QUITACEMENTO</t>
        </is>
      </c>
      <c r="D148" s="6" t="inlineStr">
        <is>
          <t>HIJOS DE JOSE BUSQUIER SL</t>
        </is>
      </c>
      <c r="E148" s="4" t="n">
        <v>37.96</v>
      </c>
      <c r="F148" s="6" t="n"/>
    </row>
    <row r="149">
      <c r="A149" s="6" t="inlineStr">
        <is>
          <t>034445/A/26/000346</t>
        </is>
      </c>
      <c r="B149" s="6" t="inlineStr">
        <is>
          <t>15/05/2026</t>
        </is>
      </c>
      <c r="C149" s="6" t="inlineStr">
        <is>
          <t>REPOSTAJE</t>
        </is>
      </c>
      <c r="D149" s="6" t="inlineStr">
        <is>
          <t>REPSOL SOLUCIONES ENERGETICAS SA.</t>
        </is>
      </c>
      <c r="E149" s="4" t="n">
        <v>58.13</v>
      </c>
      <c r="F149" s="6" t="n"/>
    </row>
    <row r="150">
      <c r="A150" s="6" t="inlineStr">
        <is>
          <t>18132026FN00000008</t>
        </is>
      </c>
      <c r="B150" s="6" t="inlineStr">
        <is>
          <t>16/05/2026</t>
        </is>
      </c>
      <c r="C150" s="6" t="inlineStr">
        <is>
          <t>REPOSTAJE</t>
        </is>
      </c>
      <c r="D150" s="6" t="inlineStr">
        <is>
          <t>CAMPSA ESTACIONES DE SERVICIO SA</t>
        </is>
      </c>
      <c r="E150" s="4" t="n">
        <v>22.27</v>
      </c>
      <c r="F150" s="6" t="n"/>
    </row>
    <row r="151">
      <c r="A151" s="6" t="inlineStr">
        <is>
          <t>6,2161E+14</t>
        </is>
      </c>
      <c r="B151" s="6" t="inlineStr">
        <is>
          <t>20/05/2026</t>
        </is>
      </c>
      <c r="C151" s="6" t="inlineStr">
        <is>
          <t>VARIOS</t>
        </is>
      </c>
      <c r="D151" s="6" t="inlineStr">
        <is>
          <t>ACTION RETAIL SPAIN SL.</t>
        </is>
      </c>
      <c r="E151" s="4" t="n">
        <v>4.09</v>
      </c>
      <c r="F151" s="6" t="n"/>
    </row>
    <row r="152">
      <c r="A152" s="6" t="inlineStr">
        <is>
          <t>5</t>
        </is>
      </c>
      <c r="B152" s="6" t="inlineStr">
        <is>
          <t>04/05/2026</t>
        </is>
      </c>
      <c r="C152" s="6" t="inlineStr">
        <is>
          <t>ALQUILER NAVE MAYO</t>
        </is>
      </c>
      <c r="D152" s="6" t="inlineStr">
        <is>
          <t>PINKY VELVET INTERNATIONAL SL</t>
        </is>
      </c>
      <c r="E152" s="4" t="n">
        <v>350</v>
      </c>
      <c r="F152" s="6" t="n"/>
    </row>
    <row r="153">
      <c r="A153" s="6" t="inlineStr">
        <is>
          <t>01262026A100047290</t>
        </is>
      </c>
      <c r="B153" s="6" t="inlineStr">
        <is>
          <t>12/05/2026</t>
        </is>
      </c>
      <c r="C153" s="6" t="inlineStr">
        <is>
          <t>AGUA 2026/02</t>
        </is>
      </c>
      <c r="D153" s="6" t="inlineStr">
        <is>
          <t>HIDRAQUA GESTIÓN INTEGRAL DE AGUAS DE LEVANTE SL</t>
        </is>
      </c>
      <c r="E153" s="4" t="n">
        <v>30.65</v>
      </c>
      <c r="F153" s="6" t="n"/>
    </row>
    <row r="154">
      <c r="A154" s="6" t="inlineStr">
        <is>
          <t>260980</t>
        </is>
      </c>
      <c r="B154" s="6" t="inlineStr">
        <is>
          <t>30/04/2026</t>
        </is>
      </c>
      <c r="C154" s="6" t="inlineStr">
        <is>
          <t>CAMBIO NOMBRE RENAULT MEGANE SCENIC</t>
        </is>
      </c>
      <c r="D154" s="6" t="inlineStr">
        <is>
          <t>ACCIONGEST ASEGEST SLP.</t>
        </is>
      </c>
      <c r="E154" s="4" t="n">
        <v>190.16</v>
      </c>
      <c r="F154" s="6" t="n"/>
    </row>
    <row r="155">
      <c r="A155" s="6" t="inlineStr">
        <is>
          <t>005710/A/26/000464</t>
        </is>
      </c>
      <c r="B155" s="6" t="inlineStr">
        <is>
          <t>05/05/2026</t>
        </is>
      </c>
      <c r="C155" s="6" t="inlineStr">
        <is>
          <t>REPOSTAJE</t>
        </is>
      </c>
      <c r="D155" s="6" t="inlineStr">
        <is>
          <t>REPSOL SOLUCIONES ENERGETICAS SA.</t>
        </is>
      </c>
      <c r="E155" s="4" t="n">
        <v>68.20999999999999</v>
      </c>
      <c r="F155" s="6" t="n"/>
    </row>
    <row r="156">
      <c r="A156" s="6" t="inlineStr">
        <is>
          <t>2601609</t>
        </is>
      </c>
      <c r="B156" s="6" t="inlineStr">
        <is>
          <t>06/05/2026</t>
        </is>
      </c>
      <c r="C156" s="6" t="inlineStr">
        <is>
          <t>MATERIAL</t>
        </is>
      </c>
      <c r="D156" s="6" t="inlineStr">
        <is>
          <t>FERRELDA SL</t>
        </is>
      </c>
      <c r="E156" s="4" t="n">
        <v>49.92</v>
      </c>
      <c r="F156" s="6" t="n"/>
    </row>
    <row r="157">
      <c r="A157" s="6" t="inlineStr">
        <is>
          <t>F/001959-26</t>
        </is>
      </c>
      <c r="B157" s="6" t="inlineStr">
        <is>
          <t>11/05/2026</t>
        </is>
      </c>
      <c r="C157" s="6" t="inlineStr">
        <is>
          <t>MATERIAL</t>
        </is>
      </c>
      <c r="D157" s="6" t="inlineStr">
        <is>
          <t>SUMINISTROS DOMINGUEZ AGUILERA ELDA SL.</t>
        </is>
      </c>
      <c r="E157" s="4" t="n">
        <v>16.36</v>
      </c>
      <c r="F157" s="6" t="n"/>
    </row>
    <row r="158">
      <c r="A158" s="6" t="inlineStr">
        <is>
          <t>mar-38</t>
        </is>
      </c>
      <c r="B158" s="6" t="inlineStr">
        <is>
          <t>11/05/2026</t>
        </is>
      </c>
      <c r="C158" s="6" t="inlineStr">
        <is>
          <t>REPOSTAJE</t>
        </is>
      </c>
      <c r="D158" s="6" t="inlineStr">
        <is>
          <t>GLEM S.L.</t>
        </is>
      </c>
      <c r="E158" s="4" t="n">
        <v>17.2</v>
      </c>
      <c r="F158" s="6" t="n"/>
    </row>
    <row r="159">
      <c r="A159" s="6" t="inlineStr">
        <is>
          <t>FV26-012726</t>
        </is>
      </c>
      <c r="B159" s="6" t="inlineStr">
        <is>
          <t>12/05/2026</t>
        </is>
      </c>
      <c r="C159" s="6" t="inlineStr">
        <is>
          <t>FIANZA AHOYADORA</t>
        </is>
      </c>
      <c r="D159" s="6" t="inlineStr">
        <is>
          <t>HIJOS DE JOSE BUSQUIER SL</t>
        </is>
      </c>
      <c r="E159" s="4" t="n">
        <v>247.93</v>
      </c>
      <c r="F159" s="6" t="n"/>
    </row>
    <row r="160">
      <c r="A160" s="6" t="inlineStr">
        <is>
          <t>321348</t>
        </is>
      </c>
      <c r="B160" s="6" t="inlineStr">
        <is>
          <t>12/05/2026</t>
        </is>
      </c>
      <c r="C160" s="6" t="inlineStr">
        <is>
          <t>VARIOS</t>
        </is>
      </c>
      <c r="D160" s="6" t="inlineStr">
        <is>
          <t>DISTRIBUCION QING YONG SL</t>
        </is>
      </c>
      <c r="E160" s="4" t="n">
        <v>8.220000000000001</v>
      </c>
      <c r="F160" s="6" t="n"/>
    </row>
    <row r="161">
      <c r="A161" s="6" t="inlineStr">
        <is>
          <t>011/26</t>
        </is>
      </c>
      <c r="B161" s="6" t="inlineStr">
        <is>
          <t>13/05/2026</t>
        </is>
      </c>
      <c r="C161" s="6" t="inlineStr">
        <is>
          <t>ROPA LABORAL PRUEBA</t>
        </is>
      </c>
      <c r="D161" s="6" t="inlineStr">
        <is>
          <t>CHINAWIN IBERICA SL</t>
        </is>
      </c>
      <c r="E161" s="4" t="n">
        <v>59.5</v>
      </c>
      <c r="F161" s="6" t="n"/>
    </row>
    <row r="162">
      <c r="A162" s="6" t="inlineStr">
        <is>
          <t>#F260142934</t>
        </is>
      </c>
      <c r="B162" s="6" t="inlineStr">
        <is>
          <t>01/04/2026</t>
        </is>
      </c>
      <c r="C162" s="6" t="inlineStr">
        <is>
          <t>HOLDED MARZO</t>
        </is>
      </c>
      <c r="D162" s="6" t="inlineStr">
        <is>
          <t>HOLDED TECHNOLOGIES SL.</t>
        </is>
      </c>
      <c r="E162" s="4" t="n">
        <v>59</v>
      </c>
      <c r="F162" s="6" t="n"/>
    </row>
    <row r="163">
      <c r="A163" s="6" t="inlineStr">
        <is>
          <t>#F260197959</t>
        </is>
      </c>
      <c r="B163" s="6" t="inlineStr">
        <is>
          <t>21/04/2026</t>
        </is>
      </c>
      <c r="C163" s="6" t="inlineStr">
        <is>
          <t>HOLDED ABRIL</t>
        </is>
      </c>
      <c r="D163" s="6" t="inlineStr">
        <is>
          <t>HOLDED TECHNOLOGIES SL.</t>
        </is>
      </c>
      <c r="E163" s="4" t="n">
        <v>59</v>
      </c>
      <c r="F163" s="6" t="n"/>
    </row>
    <row r="164">
      <c r="A164" s="6" t="inlineStr">
        <is>
          <t>M01/0087127250</t>
        </is>
      </c>
      <c r="B164" s="6" t="inlineStr">
        <is>
          <t>05/05/2026</t>
        </is>
      </c>
      <c r="C164" s="6" t="inlineStr">
        <is>
          <t>JAZZTEL ABRIL</t>
        </is>
      </c>
      <c r="D164" s="6" t="inlineStr">
        <is>
          <t>ORANGE ESPAGNE SAU.</t>
        </is>
      </c>
      <c r="E164" s="4" t="n">
        <v>23.93</v>
      </c>
      <c r="F164" s="6" t="n"/>
    </row>
    <row r="165">
      <c r="A165" s="6" t="inlineStr">
        <is>
          <t>202628623</t>
        </is>
      </c>
      <c r="B165" s="6" t="inlineStr">
        <is>
          <t>06/05/2026</t>
        </is>
      </c>
      <c r="C165" s="6" t="inlineStr">
        <is>
          <t>CONECTA 3 - MAYO</t>
        </is>
      </c>
      <c r="D165" s="6" t="inlineStr"/>
      <c r="E165" s="4" t="n">
        <v>34.68</v>
      </c>
      <c r="F165" s="6" t="n"/>
    </row>
    <row r="166">
      <c r="A166" s="6" t="inlineStr">
        <is>
          <t>2103</t>
        </is>
      </c>
      <c r="B166" s="6" t="inlineStr">
        <is>
          <t>07/05/2026</t>
        </is>
      </c>
      <c r="C166" s="6" t="inlineStr">
        <is>
          <t>ROPA LABORAL</t>
        </is>
      </c>
      <c r="D166" s="6" t="inlineStr">
        <is>
          <t>Mª CARMEN PRIETO AVELLAN</t>
        </is>
      </c>
      <c r="E166" s="4" t="n">
        <v>65</v>
      </c>
      <c r="F166" s="6" t="n"/>
    </row>
    <row r="167">
      <c r="A167" s="6" t="inlineStr">
        <is>
          <t>FE26390017782098</t>
        </is>
      </c>
      <c r="B167" s="6" t="inlineStr">
        <is>
          <t>07/05/2026</t>
        </is>
      </c>
      <c r="C167" s="6" t="inlineStr">
        <is>
          <t>NATURGY ABRIL</t>
        </is>
      </c>
      <c r="D167" s="6" t="inlineStr"/>
      <c r="E167" s="4" t="n">
        <v>23.6</v>
      </c>
      <c r="F167" s="6" t="n"/>
    </row>
    <row r="168">
      <c r="A168" s="6" t="inlineStr">
        <is>
          <t>PTL26-05128</t>
        </is>
      </c>
      <c r="B168" s="6" t="inlineStr">
        <is>
          <t>12/05/2026</t>
        </is>
      </c>
      <c r="C168" s="6" t="inlineStr">
        <is>
          <t>BEBIDA OBRA</t>
        </is>
      </c>
      <c r="D168" s="6" t="inlineStr">
        <is>
          <t>CASH LEVANTE SL</t>
        </is>
      </c>
      <c r="E168" s="4" t="n">
        <v>61.8</v>
      </c>
      <c r="F168" s="6" t="n"/>
    </row>
    <row r="169">
      <c r="A169" s="6" t="inlineStr">
        <is>
          <t>L021-631</t>
        </is>
      </c>
      <c r="B169" s="6" t="inlineStr">
        <is>
          <t>20/04/2026</t>
        </is>
      </c>
      <c r="C169" s="6" t="inlineStr">
        <is>
          <t>REPOSTAJE</t>
        </is>
      </c>
      <c r="D169" s="6" t="inlineStr">
        <is>
          <t>EUROBAMAS SL</t>
        </is>
      </c>
      <c r="E169" s="4" t="n">
        <v>57.85</v>
      </c>
      <c r="F169" s="6" t="n"/>
    </row>
    <row r="170">
      <c r="A170" s="6" t="inlineStr">
        <is>
          <t>L021-632</t>
        </is>
      </c>
      <c r="B170" s="6" t="inlineStr">
        <is>
          <t>20/04/2026</t>
        </is>
      </c>
      <c r="C170" s="6" t="inlineStr">
        <is>
          <t>REPOSTAJE</t>
        </is>
      </c>
      <c r="D170" s="6" t="inlineStr">
        <is>
          <t>EUROBAMAS SL</t>
        </is>
      </c>
      <c r="E170" s="4" t="n">
        <v>33.73</v>
      </c>
      <c r="F170" s="6" t="n"/>
    </row>
    <row r="171">
      <c r="A171" s="6" t="inlineStr">
        <is>
          <t>062-0004-172456</t>
        </is>
      </c>
      <c r="B171" s="6" t="inlineStr">
        <is>
          <t>20/04/2026</t>
        </is>
      </c>
      <c r="C171" s="6" t="inlineStr">
        <is>
          <t>MATERIAL</t>
        </is>
      </c>
      <c r="D171" s="6" t="inlineStr">
        <is>
          <t>LEROY MERLIN ESPAÑA SL</t>
        </is>
      </c>
      <c r="E171" s="4" t="n">
        <v>89.83</v>
      </c>
      <c r="F171" s="6" t="n"/>
    </row>
    <row r="172">
      <c r="A172" s="6" t="inlineStr">
        <is>
          <t>4735764821</t>
        </is>
      </c>
      <c r="B172" s="6" t="inlineStr">
        <is>
          <t>28/04/2026</t>
        </is>
      </c>
      <c r="C172" s="6" t="inlineStr">
        <is>
          <t>RADIAL ANGULAR</t>
        </is>
      </c>
      <c r="D172" s="6" t="inlineStr">
        <is>
          <t>WURTH ESPAÑA SA</t>
        </is>
      </c>
      <c r="E172" s="4" t="n">
        <v>511.2</v>
      </c>
      <c r="F172" s="6" t="n"/>
    </row>
    <row r="173">
      <c r="A173" s="6" t="inlineStr">
        <is>
          <t>L021-692</t>
        </is>
      </c>
      <c r="B173" s="6" t="inlineStr">
        <is>
          <t>30/04/2026</t>
        </is>
      </c>
      <c r="C173" s="6" t="inlineStr">
        <is>
          <t>REPOSTAJE</t>
        </is>
      </c>
      <c r="D173" s="6" t="inlineStr">
        <is>
          <t>EUROBAMAS SL</t>
        </is>
      </c>
      <c r="E173" s="4" t="n">
        <v>76.16</v>
      </c>
      <c r="F173" s="6" t="n"/>
    </row>
    <row r="174">
      <c r="A174" s="6" t="inlineStr">
        <is>
          <t>ORD_449_2026/0010348</t>
        </is>
      </c>
      <c r="B174" s="6" t="inlineStr">
        <is>
          <t>22/04/2026</t>
        </is>
      </c>
      <c r="C174" s="6" t="inlineStr">
        <is>
          <t>COMPRA IKEA</t>
        </is>
      </c>
      <c r="D174" s="6" t="inlineStr">
        <is>
          <t>IKEA IBERICA SAU</t>
        </is>
      </c>
      <c r="E174" s="4" t="n">
        <v>52.03</v>
      </c>
      <c r="F174" s="6" t="n"/>
    </row>
    <row r="175">
      <c r="A175" s="6" t="inlineStr">
        <is>
          <t>V-26-04-21648</t>
        </is>
      </c>
      <c r="B175" s="6" t="inlineStr">
        <is>
          <t>30/04/2026</t>
        </is>
      </c>
      <c r="C175" s="6" t="inlineStr">
        <is>
          <t>PLENOIL ABRIL</t>
        </is>
      </c>
      <c r="D175" s="6" t="inlineStr">
        <is>
          <t>PLENOIL SL.</t>
        </is>
      </c>
      <c r="E175" s="4" t="n">
        <v>1729.15</v>
      </c>
      <c r="F175" s="6" t="n"/>
    </row>
    <row r="176">
      <c r="A176" s="6" t="inlineStr">
        <is>
          <t>Nº4</t>
        </is>
      </c>
      <c r="B176" s="6" t="inlineStr">
        <is>
          <t>04/05/2026</t>
        </is>
      </c>
      <c r="C176" s="6" t="inlineStr">
        <is>
          <t>ALQUILER NAVE ABRIL</t>
        </is>
      </c>
      <c r="D176" s="6" t="inlineStr">
        <is>
          <t>PINKY VELVET INTERNATIONAL SL</t>
        </is>
      </c>
      <c r="E176" s="4" t="n">
        <v>350</v>
      </c>
      <c r="F176" s="6" t="n"/>
    </row>
    <row r="177">
      <c r="A177" s="6" t="inlineStr">
        <is>
          <t>2096</t>
        </is>
      </c>
      <c r="B177" s="6" t="inlineStr">
        <is>
          <t>04/05/2026</t>
        </is>
      </c>
      <c r="C177" s="6" t="inlineStr">
        <is>
          <t>ROPA LABORAL</t>
        </is>
      </c>
      <c r="D177" s="6" t="inlineStr">
        <is>
          <t>Mª CARMEN PRIETO AVELLAN</t>
        </is>
      </c>
      <c r="E177" s="4" t="n">
        <v>833.5</v>
      </c>
      <c r="F177" s="6" t="n"/>
    </row>
    <row r="178">
      <c r="A178" s="6" t="inlineStr">
        <is>
          <t>12600544-A</t>
        </is>
      </c>
      <c r="B178" s="6" t="inlineStr">
        <is>
          <t>01/04/2026</t>
        </is>
      </c>
      <c r="C178" s="6" t="inlineStr">
        <is>
          <t>COMPRAVENTA PARTICIPACIONES SOCIALES</t>
        </is>
      </c>
      <c r="D178" s="6" t="inlineStr">
        <is>
          <t>ALEJANDRO PEREZ MARTINEZ</t>
        </is>
      </c>
      <c r="E178" s="4" t="n">
        <v>381.09</v>
      </c>
      <c r="F178" s="6" t="n"/>
    </row>
    <row r="179">
      <c r="A179" s="6" t="inlineStr">
        <is>
          <t>11T/2026/5.617</t>
        </is>
      </c>
      <c r="B179" s="6" t="inlineStr">
        <is>
          <t>15/04/2026</t>
        </is>
      </c>
      <c r="C179" s="6" t="inlineStr">
        <is>
          <t>REGISTRO MERCANTIL COMPRA EMPRESA</t>
        </is>
      </c>
      <c r="D179" s="6" t="inlineStr">
        <is>
          <t>REGISTRO MERCANTIL DE ALICANTE, S.C.</t>
        </is>
      </c>
      <c r="E179" s="4" t="n">
        <v>97.81</v>
      </c>
      <c r="F179" s="6" t="n"/>
    </row>
    <row r="180">
      <c r="A180" s="6" t="inlineStr">
        <is>
          <t>BORME/2026/4172</t>
        </is>
      </c>
      <c r="B180" s="6" t="inlineStr">
        <is>
          <t>15/04/2026</t>
        </is>
      </c>
      <c r="C180" s="6" t="inlineStr">
        <is>
          <t>PUBLICACION BORME</t>
        </is>
      </c>
      <c r="D180" s="6" t="inlineStr"/>
      <c r="E180" s="4" t="n">
        <v>28.72</v>
      </c>
      <c r="F180" s="6" t="n"/>
    </row>
    <row r="181">
      <c r="A181" s="6" t="inlineStr">
        <is>
          <t>LU6YVGE2AEUI</t>
        </is>
      </c>
      <c r="B181" s="6" t="inlineStr">
        <is>
          <t>19/02/2026</t>
        </is>
      </c>
      <c r="C181" s="6" t="inlineStr">
        <is>
          <t>COMPRA AMAZON</t>
        </is>
      </c>
      <c r="D181" s="6" t="inlineStr">
        <is>
          <t>AMAZON EU SARL LUXEMBURGO</t>
        </is>
      </c>
      <c r="E181" s="4" t="n">
        <v>80.08</v>
      </c>
      <c r="F181" s="6" t="n"/>
    </row>
    <row r="182">
      <c r="A182" s="6" t="inlineStr">
        <is>
          <t>L021-603</t>
        </is>
      </c>
      <c r="B182" s="6" t="inlineStr">
        <is>
          <t>15/04/2026</t>
        </is>
      </c>
      <c r="C182" s="6" t="inlineStr">
        <is>
          <t>REPOSTAJE</t>
        </is>
      </c>
      <c r="D182" s="6" t="inlineStr">
        <is>
          <t>EUROBAMAS SL</t>
        </is>
      </c>
      <c r="E182" s="4" t="n">
        <v>60.33</v>
      </c>
      <c r="F182" s="6" t="n"/>
    </row>
    <row r="183">
      <c r="A183" s="6" t="inlineStr">
        <is>
          <t>L021-604</t>
        </is>
      </c>
      <c r="B183" s="6" t="inlineStr">
        <is>
          <t>15/04/2026</t>
        </is>
      </c>
      <c r="C183" s="6" t="inlineStr">
        <is>
          <t>REPOSTAJE</t>
        </is>
      </c>
      <c r="D183" s="6" t="inlineStr">
        <is>
          <t>EUROBAMAS SL</t>
        </is>
      </c>
      <c r="E183" s="4" t="n">
        <v>45.83</v>
      </c>
      <c r="F183" s="6" t="n"/>
    </row>
    <row r="184">
      <c r="A184" s="6" t="inlineStr">
        <is>
          <t>FACTE530046956</t>
        </is>
      </c>
      <c r="B184" s="6" t="inlineStr">
        <is>
          <t>16/04/2026</t>
        </is>
      </c>
      <c r="C184" s="6" t="inlineStr">
        <is>
          <t>REPOSTAJE</t>
        </is>
      </c>
      <c r="D184" s="6" t="inlineStr">
        <is>
          <t>NOVELDIESEL SL</t>
        </is>
      </c>
      <c r="E184" s="4" t="n">
        <v>87.26000000000001</v>
      </c>
      <c r="F184" s="6" t="n"/>
    </row>
    <row r="185">
      <c r="A185" s="6" t="inlineStr">
        <is>
          <t>26FP000747</t>
        </is>
      </c>
      <c r="B185" s="6" t="inlineStr">
        <is>
          <t>22/04/2026</t>
        </is>
      </c>
      <c r="C185" s="6" t="inlineStr">
        <is>
          <t>REPOSTAJE</t>
        </is>
      </c>
      <c r="D185" s="6" t="inlineStr">
        <is>
          <t>E.S. PINOSO S.L.</t>
        </is>
      </c>
      <c r="E185" s="4" t="n">
        <v>71.04000000000001</v>
      </c>
      <c r="F185" s="6" t="n"/>
    </row>
    <row r="186">
      <c r="A186" s="6" t="inlineStr">
        <is>
          <t>DGFCJ2600260649</t>
        </is>
      </c>
      <c r="B186" s="6" t="inlineStr">
        <is>
          <t>23/04/2026</t>
        </is>
      </c>
      <c r="C186" s="6" t="inlineStr">
        <is>
          <t>DIGI MARZO-ABRIL</t>
        </is>
      </c>
      <c r="D186" s="6" t="inlineStr">
        <is>
          <t>DIGI SPAIN TELECOM SL</t>
        </is>
      </c>
      <c r="E186" s="4" t="n">
        <v>6.45</v>
      </c>
      <c r="F186" s="6" t="n"/>
    </row>
    <row r="187">
      <c r="A187" s="6" t="inlineStr">
        <is>
          <t>060-26</t>
        </is>
      </c>
      <c r="B187" s="6" t="inlineStr">
        <is>
          <t>25/04/2026</t>
        </is>
      </c>
      <c r="C187" s="6" t="inlineStr">
        <is>
          <t>FONTANERO</t>
        </is>
      </c>
      <c r="D187" s="6" t="inlineStr">
        <is>
          <t>JOSE ANTONIO REYES PACHECO</t>
        </is>
      </c>
      <c r="E187" s="4" t="n">
        <v>195</v>
      </c>
      <c r="F187" s="6" t="n"/>
    </row>
    <row r="188">
      <c r="A188" s="6" t="inlineStr">
        <is>
          <t>4</t>
        </is>
      </c>
      <c r="B188" s="6" t="inlineStr">
        <is>
          <t>28/04/2026</t>
        </is>
      </c>
      <c r="C188" s="6" t="inlineStr">
        <is>
          <t>HONORARIOS</t>
        </is>
      </c>
      <c r="D188" s="6" t="inlineStr">
        <is>
          <t>INMOCEYLAN SL.</t>
        </is>
      </c>
      <c r="E188" s="4" t="n">
        <v>4000</v>
      </c>
      <c r="F188" s="6" t="n"/>
    </row>
    <row r="189">
      <c r="A189" s="6" t="inlineStr">
        <is>
          <t>FE26390013469837</t>
        </is>
      </c>
      <c r="B189" s="6" t="inlineStr">
        <is>
          <t>07/04/2026</t>
        </is>
      </c>
      <c r="C189" s="6" t="inlineStr">
        <is>
          <t>NATURGY MARZO</t>
        </is>
      </c>
      <c r="D189" s="6" t="inlineStr"/>
      <c r="E189" s="4" t="n">
        <v>51.16</v>
      </c>
      <c r="F189" s="6" t="n"/>
    </row>
    <row r="190">
      <c r="A190" s="6" t="inlineStr">
        <is>
          <t>A/856</t>
        </is>
      </c>
      <c r="B190" s="6" t="inlineStr">
        <is>
          <t>15/04/2026</t>
        </is>
      </c>
      <c r="C190" s="6" t="inlineStr">
        <is>
          <t>MATERIAL</t>
        </is>
      </c>
      <c r="D190" s="6" t="inlineStr">
        <is>
          <t>MATERIALES DE CONSTRUCCION LOS CAPITOS SL.</t>
        </is>
      </c>
      <c r="E190" s="4" t="n">
        <v>26.36</v>
      </c>
      <c r="F190" s="6" t="n"/>
    </row>
    <row r="191">
      <c r="A191" s="6" t="inlineStr">
        <is>
          <t>ES20260426000008</t>
        </is>
      </c>
      <c r="B191" s="6" t="inlineStr">
        <is>
          <t>26/04/2026</t>
        </is>
      </c>
      <c r="C191" s="6" t="inlineStr">
        <is>
          <t>COMPRA VENTILADORES</t>
        </is>
      </c>
      <c r="D191" s="6" t="inlineStr">
        <is>
          <t>INDEPSALE TECHNOLOGY LIMITED</t>
        </is>
      </c>
      <c r="E191" s="4" t="n">
        <v>564.22</v>
      </c>
      <c r="F191" s="6" t="n"/>
    </row>
    <row r="192">
      <c r="A192" s="6" t="inlineStr">
        <is>
          <t>4735701206</t>
        </is>
      </c>
      <c r="B192" s="6" t="inlineStr">
        <is>
          <t>16/04/2026</t>
        </is>
      </c>
      <c r="C192" s="6" t="inlineStr">
        <is>
          <t>DISCO DIAMANTE MINI</t>
        </is>
      </c>
      <c r="D192" s="6" t="inlineStr">
        <is>
          <t>WURTH ESPAÑA SA</t>
        </is>
      </c>
      <c r="E192" s="4" t="n">
        <v>170.4</v>
      </c>
      <c r="F192" s="6" t="n"/>
    </row>
    <row r="193">
      <c r="A193" s="6" t="inlineStr">
        <is>
          <t>M01/0087093395</t>
        </is>
      </c>
      <c r="B193" s="6" t="inlineStr">
        <is>
          <t>05/04/2026</t>
        </is>
      </c>
      <c r="C193" s="6" t="inlineStr">
        <is>
          <t>JAZZTEL MARZ</t>
        </is>
      </c>
      <c r="D193" s="6" t="inlineStr">
        <is>
          <t>ORANGE ESPAGNE SAU.</t>
        </is>
      </c>
      <c r="E193" s="4" t="n">
        <v>31.66</v>
      </c>
      <c r="F193" s="6" t="n"/>
    </row>
    <row r="194">
      <c r="A194" s="6" t="inlineStr">
        <is>
          <t>26FP000621</t>
        </is>
      </c>
      <c r="B194" s="6" t="inlineStr">
        <is>
          <t>08/04/2026</t>
        </is>
      </c>
      <c r="C194" s="6" t="inlineStr">
        <is>
          <t>REPOSTAJE</t>
        </is>
      </c>
      <c r="D194" s="6" t="inlineStr">
        <is>
          <t>E.S. PINOSO S.L.</t>
        </is>
      </c>
      <c r="E194" s="4" t="n">
        <v>69.08</v>
      </c>
      <c r="F194" s="6" t="n"/>
    </row>
    <row r="195">
      <c r="A195" s="6" t="inlineStr">
        <is>
          <t>202622887</t>
        </is>
      </c>
      <c r="B195" s="6" t="inlineStr">
        <is>
          <t>08/04/2026</t>
        </is>
      </c>
      <c r="C195" s="6" t="inlineStr">
        <is>
          <t>CONECTA 3 MARZO</t>
        </is>
      </c>
      <c r="D195" s="6" t="inlineStr"/>
      <c r="E195" s="4" t="n">
        <v>44.66</v>
      </c>
      <c r="F195" s="6" t="n"/>
    </row>
    <row r="196">
      <c r="A196" s="6" t="inlineStr">
        <is>
          <t>015795/A/26/000979</t>
        </is>
      </c>
      <c r="B196" s="6" t="inlineStr">
        <is>
          <t>10/04/2026</t>
        </is>
      </c>
      <c r="C196" s="6" t="inlineStr">
        <is>
          <t>REPOSTAJE</t>
        </is>
      </c>
      <c r="D196" s="6" t="inlineStr">
        <is>
          <t>REPSOL SOLUCIONES ENERGETICAS SA.</t>
        </is>
      </c>
      <c r="E196" s="4" t="n">
        <v>72.34</v>
      </c>
      <c r="F196" s="6" t="n"/>
    </row>
    <row r="197">
      <c r="A197" s="6" t="inlineStr">
        <is>
          <t>011375/A/26/000711</t>
        </is>
      </c>
      <c r="B197" s="6" t="inlineStr">
        <is>
          <t>14/04/2026</t>
        </is>
      </c>
      <c r="C197" s="6" t="inlineStr">
        <is>
          <t>REPOSTAJE</t>
        </is>
      </c>
      <c r="D197" s="6" t="inlineStr">
        <is>
          <t>REPSOL SOLUCIONES ENERGETICAS SA.</t>
        </is>
      </c>
      <c r="E197" s="4" t="n">
        <v>75.8</v>
      </c>
      <c r="F197" s="6" t="n"/>
    </row>
    <row r="198">
      <c r="A198" s="6" t="inlineStr">
        <is>
          <t>V-26-03-32995</t>
        </is>
      </c>
      <c r="B198" s="6" t="inlineStr">
        <is>
          <t>31/03/2026</t>
        </is>
      </c>
      <c r="C198" s="6" t="inlineStr">
        <is>
          <t>PLENOIL MARZO</t>
        </is>
      </c>
      <c r="D198" s="6" t="inlineStr">
        <is>
          <t>PLENOIL SL.</t>
        </is>
      </c>
      <c r="E198" s="4" t="n">
        <v>1557.38</v>
      </c>
      <c r="F198" s="6" t="n"/>
    </row>
    <row r="199">
      <c r="A199" s="6" t="inlineStr">
        <is>
          <t>G26.037</t>
        </is>
      </c>
      <c r="B199" s="6" t="inlineStr">
        <is>
          <t>31/03/2026</t>
        </is>
      </c>
      <c r="C199" s="6" t="inlineStr">
        <is>
          <t>GRUA</t>
        </is>
      </c>
      <c r="D199" s="6" t="inlineStr">
        <is>
          <t>GRUAS Y MAQUINARIA PETREL SL</t>
        </is>
      </c>
      <c r="E199" s="4" t="n">
        <v>480</v>
      </c>
      <c r="F199" s="6" t="n"/>
    </row>
    <row r="200">
      <c r="A200" s="6" t="inlineStr">
        <is>
          <t>220</t>
        </is>
      </c>
      <c r="B200" s="6" t="inlineStr">
        <is>
          <t>31/03/2026</t>
        </is>
      </c>
      <c r="C200" s="6" t="inlineStr">
        <is>
          <t>ASESORAMIENTO LABORAL MARZO</t>
        </is>
      </c>
      <c r="D200" s="6" t="inlineStr"/>
      <c r="E200" s="4" t="n">
        <v>260</v>
      </c>
      <c r="F200" s="6" t="n"/>
    </row>
    <row r="201">
      <c r="A201" s="6" t="inlineStr">
        <is>
          <t>315438</t>
        </is>
      </c>
      <c r="B201" s="6" t="inlineStr">
        <is>
          <t>27/03/2026</t>
        </is>
      </c>
      <c r="C201" s="6" t="inlineStr">
        <is>
          <t>MATERIAL</t>
        </is>
      </c>
      <c r="D201" s="6" t="inlineStr">
        <is>
          <t>DISTRIBUCION QING YONG SL</t>
        </is>
      </c>
      <c r="E201" s="4" t="n">
        <v>16.86</v>
      </c>
      <c r="F201" s="6" t="n"/>
    </row>
    <row r="202">
      <c r="A202" s="6" t="inlineStr">
        <is>
          <t>602102633</t>
        </is>
      </c>
      <c r="B202" s="6" t="inlineStr">
        <is>
          <t>30/03/2026</t>
        </is>
      </c>
      <c r="C202" s="6" t="inlineStr">
        <is>
          <t>MAGUERA Y ADAPTADORES</t>
        </is>
      </c>
      <c r="D202" s="6" t="inlineStr">
        <is>
          <t>COMERFONSA SL</t>
        </is>
      </c>
      <c r="E202" s="4" t="n">
        <v>74.18000000000001</v>
      </c>
      <c r="F202" s="6" t="n"/>
    </row>
    <row r="203">
      <c r="A203" s="6" t="inlineStr">
        <is>
          <t>26FP000568</t>
        </is>
      </c>
      <c r="B203" s="6" t="inlineStr">
        <is>
          <t>30/03/2026</t>
        </is>
      </c>
      <c r="C203" s="6" t="inlineStr">
        <is>
          <t>REPOSTAJE</t>
        </is>
      </c>
      <c r="D203" s="6" t="inlineStr">
        <is>
          <t>E.S. PINOSO S.L.</t>
        </is>
      </c>
      <c r="E203" s="4" t="n">
        <v>56.86</v>
      </c>
      <c r="F203" s="6" t="n"/>
    </row>
    <row r="204">
      <c r="A204" s="6" t="inlineStr">
        <is>
          <t>01250026/00001912</t>
        </is>
      </c>
      <c r="B204" s="6" t="inlineStr">
        <is>
          <t>04/04/2026</t>
        </is>
      </c>
      <c r="C204" s="6" t="inlineStr">
        <is>
          <t>REPOSTAJE</t>
        </is>
      </c>
      <c r="D204" s="6" t="inlineStr">
        <is>
          <t>MOEVE RETAIL OPERATIONS S.A.U.</t>
        </is>
      </c>
      <c r="E204" s="4" t="n">
        <v>17.65</v>
      </c>
      <c r="F204" s="6" t="n"/>
    </row>
    <row r="205">
      <c r="A205" s="6" t="inlineStr">
        <is>
          <t>5593</t>
        </is>
      </c>
      <c r="B205" s="6" t="inlineStr">
        <is>
          <t>15/03/2026</t>
        </is>
      </c>
      <c r="C205" s="6" t="inlineStr">
        <is>
          <t>MARCO  + TAPADERA</t>
        </is>
      </c>
      <c r="D205" s="6" t="inlineStr">
        <is>
          <t>SALTOKI ELCHE SL.</t>
        </is>
      </c>
      <c r="E205" s="4" t="n">
        <v>-70.06999999999999</v>
      </c>
      <c r="F205" s="6" t="n"/>
    </row>
    <row r="206">
      <c r="A206" s="6" t="inlineStr">
        <is>
          <t>5594</t>
        </is>
      </c>
      <c r="B206" s="6" t="inlineStr">
        <is>
          <t>15/03/2026</t>
        </is>
      </c>
      <c r="C206" s="6" t="inlineStr">
        <is>
          <t>MARCO  + TAPADERA</t>
        </is>
      </c>
      <c r="D206" s="6" t="inlineStr">
        <is>
          <t>SALTOKI ELCHE SL.</t>
        </is>
      </c>
      <c r="E206" s="4" t="n">
        <v>70.06999999999999</v>
      </c>
      <c r="F206" s="6" t="n"/>
    </row>
    <row r="207">
      <c r="A207" s="6" t="inlineStr">
        <is>
          <t>L021-456</t>
        </is>
      </c>
      <c r="B207" s="6" t="inlineStr">
        <is>
          <t>23/03/2026</t>
        </is>
      </c>
      <c r="C207" s="6" t="inlineStr">
        <is>
          <t>REPOSTAJE</t>
        </is>
      </c>
      <c r="D207" s="6" t="inlineStr">
        <is>
          <t>EUROBAMAS SL</t>
        </is>
      </c>
      <c r="E207" s="4" t="n">
        <v>76.92</v>
      </c>
      <c r="F207" s="6" t="n"/>
    </row>
    <row r="208">
      <c r="A208" s="6" t="inlineStr">
        <is>
          <t>A20260211</t>
        </is>
      </c>
      <c r="B208" s="6" t="inlineStr">
        <is>
          <t>23/03/2026</t>
        </is>
      </c>
      <c r="C208" s="6" t="inlineStr">
        <is>
          <t>PALA PLUS MARTILLO</t>
        </is>
      </c>
      <c r="D208" s="6" t="inlineStr">
        <is>
          <t>ESTABLECIMIENTOS DEMETRIO SL</t>
        </is>
      </c>
      <c r="E208" s="4" t="n">
        <v>14.04</v>
      </c>
      <c r="F208" s="6" t="n"/>
    </row>
    <row r="209">
      <c r="A209" s="6" t="inlineStr">
        <is>
          <t>46126/101F00194</t>
        </is>
      </c>
      <c r="B209" s="6" t="inlineStr">
        <is>
          <t>25/03/2026</t>
        </is>
      </c>
      <c r="C209" s="6" t="inlineStr">
        <is>
          <t>PARKING CANALEJAS</t>
        </is>
      </c>
      <c r="D209" s="6" t="inlineStr">
        <is>
          <t>PARKING 3000 SL</t>
        </is>
      </c>
      <c r="E209" s="4" t="n">
        <v>6.28</v>
      </c>
      <c r="F209" s="6" t="n"/>
    </row>
    <row r="210">
      <c r="A210" s="6" t="inlineStr">
        <is>
          <t>6/201072143</t>
        </is>
      </c>
      <c r="B210" s="6" t="inlineStr">
        <is>
          <t>26/03/2026</t>
        </is>
      </c>
      <c r="C210" s="6" t="inlineStr">
        <is>
          <t>REPOSTAJE</t>
        </is>
      </c>
      <c r="D210" s="6" t="inlineStr">
        <is>
          <t>ESTACION OMEGA ESPINARDO SL</t>
        </is>
      </c>
      <c r="E210" s="4" t="n">
        <v>17.5</v>
      </c>
      <c r="F210" s="6" t="n"/>
    </row>
    <row r="211">
      <c r="A211" s="6" t="inlineStr">
        <is>
          <t>011375/A/26000600</t>
        </is>
      </c>
      <c r="B211" s="6" t="inlineStr">
        <is>
          <t>30/03/2026</t>
        </is>
      </c>
      <c r="C211" s="6" t="inlineStr">
        <is>
          <t>REPOSTAJE</t>
        </is>
      </c>
      <c r="D211" s="6" t="inlineStr">
        <is>
          <t>REPSOL SOLUCIONES ENERGETICAS SA.</t>
        </is>
      </c>
      <c r="E211" s="4" t="n">
        <v>60</v>
      </c>
      <c r="F211" s="6" t="n"/>
    </row>
    <row r="212">
      <c r="A212" s="6" t="inlineStr">
        <is>
          <t>011375/V/26/000076</t>
        </is>
      </c>
      <c r="B212" s="6" t="inlineStr">
        <is>
          <t>31/03/2026</t>
        </is>
      </c>
      <c r="C212" s="6" t="inlineStr">
        <is>
          <t>REPOSTAJE</t>
        </is>
      </c>
      <c r="D212" s="6" t="inlineStr">
        <is>
          <t>REPSOL SOLUCIONES ENERGETICAS SA.</t>
        </is>
      </c>
      <c r="E212" s="4" t="n">
        <v>60</v>
      </c>
      <c r="F212" s="6" t="n"/>
    </row>
    <row r="213">
      <c r="A213" s="6" t="inlineStr">
        <is>
          <t>50</t>
        </is>
      </c>
      <c r="B213" s="6" t="inlineStr">
        <is>
          <t>31/03/2026</t>
        </is>
      </c>
      <c r="C213" s="6" t="inlineStr">
        <is>
          <t>VARIOS</t>
        </is>
      </c>
      <c r="D213" s="6" t="inlineStr">
        <is>
          <t>FINA LIFANTE FLORES</t>
        </is>
      </c>
      <c r="E213" s="4" t="n">
        <v>11.24</v>
      </c>
      <c r="F213" s="6" t="n"/>
    </row>
    <row r="214">
      <c r="A214" s="6" t="inlineStr">
        <is>
          <t>311843</t>
        </is>
      </c>
      <c r="B214" s="6" t="inlineStr">
        <is>
          <t>24/02/2026</t>
        </is>
      </c>
      <c r="C214" s="6" t="inlineStr">
        <is>
          <t>VARIOS</t>
        </is>
      </c>
      <c r="D214" s="6" t="inlineStr">
        <is>
          <t>DISTRIBUCION QING YONG SL</t>
        </is>
      </c>
      <c r="E214" s="4" t="n">
        <v>11.49</v>
      </c>
      <c r="F214" s="6" t="n"/>
    </row>
    <row r="215">
      <c r="A215" s="6" t="inlineStr">
        <is>
          <t>26FP000428</t>
        </is>
      </c>
      <c r="B215" s="6" t="inlineStr">
        <is>
          <t>10/03/2026</t>
        </is>
      </c>
      <c r="C215" s="6" t="inlineStr">
        <is>
          <t>REPOSTAJE</t>
        </is>
      </c>
      <c r="D215" s="6" t="inlineStr">
        <is>
          <t>E.S. PINOSO S.L.</t>
        </is>
      </c>
      <c r="E215" s="4" t="n">
        <v>61.98</v>
      </c>
      <c r="F215" s="6" t="n"/>
    </row>
    <row r="216">
      <c r="A216" s="6" t="inlineStr">
        <is>
          <t>005710/A/26/000273</t>
        </is>
      </c>
      <c r="B216" s="6" t="inlineStr">
        <is>
          <t>13/03/2026</t>
        </is>
      </c>
      <c r="C216" s="6" t="inlineStr">
        <is>
          <t>REPOSTAJE</t>
        </is>
      </c>
      <c r="D216" s="6" t="inlineStr">
        <is>
          <t>REPSOL SOLUCIONES ENERGETICAS SA.</t>
        </is>
      </c>
      <c r="E216" s="4" t="n">
        <v>24.79</v>
      </c>
      <c r="F216" s="6" t="n"/>
    </row>
    <row r="217">
      <c r="A217" s="6" t="inlineStr">
        <is>
          <t>26FP000499</t>
        </is>
      </c>
      <c r="B217" s="6" t="inlineStr">
        <is>
          <t>20/03/2026</t>
        </is>
      </c>
      <c r="C217" s="6" t="inlineStr">
        <is>
          <t>REPOSTAJE</t>
        </is>
      </c>
      <c r="D217" s="6" t="inlineStr">
        <is>
          <t>E.S. PINOSO S.L.</t>
        </is>
      </c>
      <c r="E217" s="4" t="n">
        <v>118.53</v>
      </c>
      <c r="F217" s="6" t="n"/>
    </row>
    <row r="218">
      <c r="A218" s="6" t="inlineStr">
        <is>
          <t>46126/101F00186</t>
        </is>
      </c>
      <c r="B218" s="6" t="inlineStr">
        <is>
          <t>23/03/2026</t>
        </is>
      </c>
      <c r="C218" s="6" t="inlineStr">
        <is>
          <t>PARKING CANALEJAS</t>
        </is>
      </c>
      <c r="D218" s="6" t="inlineStr">
        <is>
          <t>PARKING 3000 SL</t>
        </is>
      </c>
      <c r="E218" s="4" t="n">
        <v>12.6</v>
      </c>
      <c r="F218" s="6" t="n"/>
    </row>
    <row r="219">
      <c r="A219" s="6" t="inlineStr">
        <is>
          <t>46126/101F00184</t>
        </is>
      </c>
      <c r="B219" s="6" t="inlineStr">
        <is>
          <t>23/03/2026</t>
        </is>
      </c>
      <c r="C219" s="6" t="inlineStr">
        <is>
          <t>PARKING CANALEJAS</t>
        </is>
      </c>
      <c r="D219" s="6" t="inlineStr">
        <is>
          <t>PARKING 3000 SL</t>
        </is>
      </c>
      <c r="E219" s="4" t="n">
        <v>12.69</v>
      </c>
      <c r="F219" s="6" t="n"/>
    </row>
    <row r="220">
      <c r="A220" s="6" t="inlineStr">
        <is>
          <t>46126/101F00192</t>
        </is>
      </c>
      <c r="B220" s="6" t="inlineStr">
        <is>
          <t>23/03/2026</t>
        </is>
      </c>
      <c r="C220" s="6" t="inlineStr">
        <is>
          <t>PARKING CANALEJAS</t>
        </is>
      </c>
      <c r="D220" s="6" t="inlineStr">
        <is>
          <t>PARKING 3000 SL</t>
        </is>
      </c>
      <c r="E220" s="4" t="n">
        <v>11.94</v>
      </c>
      <c r="F220" s="6" t="n"/>
    </row>
    <row r="221">
      <c r="A221" s="6" t="inlineStr">
        <is>
          <t>46126/101F00185</t>
        </is>
      </c>
      <c r="B221" s="6" t="inlineStr">
        <is>
          <t>23/03/2026</t>
        </is>
      </c>
      <c r="C221" s="6" t="inlineStr">
        <is>
          <t>PARKING CANALEJAS</t>
        </is>
      </c>
      <c r="D221" s="6" t="inlineStr">
        <is>
          <t>PARKING 3000 SL</t>
        </is>
      </c>
      <c r="E221" s="4" t="n">
        <v>12.4</v>
      </c>
      <c r="F221" s="6" t="n"/>
    </row>
    <row r="222">
      <c r="A222" s="6" t="inlineStr">
        <is>
          <t>46126/101F00187</t>
        </is>
      </c>
      <c r="B222" s="6" t="inlineStr">
        <is>
          <t>23/03/2026</t>
        </is>
      </c>
      <c r="C222" s="6" t="inlineStr">
        <is>
          <t>PARKING CANALEJAS</t>
        </is>
      </c>
      <c r="D222" s="6" t="inlineStr">
        <is>
          <t>PARKING 3000 SL</t>
        </is>
      </c>
      <c r="E222" s="4" t="n">
        <v>8.6</v>
      </c>
      <c r="F222" s="6" t="n"/>
    </row>
    <row r="223">
      <c r="A223" s="6" t="inlineStr">
        <is>
          <t>46126/101F00188</t>
        </is>
      </c>
      <c r="B223" s="6" t="inlineStr">
        <is>
          <t>23/03/2026</t>
        </is>
      </c>
      <c r="C223" s="6" t="inlineStr">
        <is>
          <t>PARKING CANALEJAS</t>
        </is>
      </c>
      <c r="D223" s="6" t="inlineStr">
        <is>
          <t>PARKING 3000 SL</t>
        </is>
      </c>
      <c r="E223" s="4" t="n">
        <v>12.19</v>
      </c>
      <c r="F223" s="6" t="n"/>
    </row>
    <row r="224">
      <c r="A224" s="6" t="inlineStr">
        <is>
          <t>011375/V/26/000074</t>
        </is>
      </c>
      <c r="B224" s="6" t="inlineStr">
        <is>
          <t>31/03/2026</t>
        </is>
      </c>
      <c r="C224" s="6" t="inlineStr">
        <is>
          <t>REPOSTAJE</t>
        </is>
      </c>
      <c r="D224" s="6" t="inlineStr">
        <is>
          <t>REPSOL SOLUCIONES ENERGETICAS SA.</t>
        </is>
      </c>
      <c r="E224" s="4" t="n">
        <v>55</v>
      </c>
      <c r="F224" s="6" t="n"/>
    </row>
    <row r="225">
      <c r="A225" s="6" t="inlineStr">
        <is>
          <t>26MST03210</t>
        </is>
      </c>
      <c r="B225" s="6" t="inlineStr">
        <is>
          <t>09/03/2026</t>
        </is>
      </c>
      <c r="C225" s="6" t="inlineStr">
        <is>
          <t>RESPOSTAJE</t>
        </is>
      </c>
      <c r="D225" s="6" t="inlineStr">
        <is>
          <t>FLASH-CAR LEVANTE SERVICIOS SL</t>
        </is>
      </c>
      <c r="E225" s="4" t="n">
        <v>12.4</v>
      </c>
      <c r="F225" s="6" t="n"/>
    </row>
    <row r="226">
      <c r="A226" s="6" t="inlineStr">
        <is>
          <t>L021-421</t>
        </is>
      </c>
      <c r="B226" s="6" t="inlineStr">
        <is>
          <t>16/03/2026</t>
        </is>
      </c>
      <c r="C226" s="6" t="inlineStr">
        <is>
          <t>REPOSATAJE</t>
        </is>
      </c>
      <c r="D226" s="6" t="inlineStr">
        <is>
          <t>EUROBAMAS SL</t>
        </is>
      </c>
      <c r="E226" s="4" t="n">
        <v>74.38</v>
      </c>
      <c r="F226" s="6" t="n"/>
    </row>
    <row r="227">
      <c r="A227" s="6" t="inlineStr">
        <is>
          <t>L021-462</t>
        </is>
      </c>
      <c r="B227" s="6" t="inlineStr">
        <is>
          <t>24/03/2026</t>
        </is>
      </c>
      <c r="C227" s="6" t="inlineStr">
        <is>
          <t>REPOSTAJE</t>
        </is>
      </c>
      <c r="D227" s="6" t="inlineStr">
        <is>
          <t>EUROBAMAS SL</t>
        </is>
      </c>
      <c r="E227" s="4" t="n">
        <v>60.17</v>
      </c>
      <c r="F227" s="6" t="n"/>
    </row>
    <row r="228">
      <c r="A228" s="6" t="inlineStr">
        <is>
          <t>20269-0053</t>
        </is>
      </c>
      <c r="B228" s="6" t="inlineStr">
        <is>
          <t>01/02/2026</t>
        </is>
      </c>
      <c r="C228" s="6" t="inlineStr">
        <is>
          <t>ASESORAMIENTO CONTABLE FISCAL</t>
        </is>
      </c>
      <c r="D228" s="6" t="inlineStr"/>
      <c r="E228" s="4" t="n">
        <v>360.15</v>
      </c>
      <c r="F228" s="6" t="n"/>
    </row>
    <row r="229">
      <c r="A229" s="6" t="inlineStr">
        <is>
          <t>2026-0081</t>
        </is>
      </c>
      <c r="B229" s="6" t="inlineStr">
        <is>
          <t>01/03/2026</t>
        </is>
      </c>
      <c r="C229" s="6" t="inlineStr">
        <is>
          <t>ASESORAMIENTO CONTABLE FISCAL</t>
        </is>
      </c>
      <c r="D229" s="6" t="inlineStr"/>
      <c r="E229" s="4" t="n">
        <v>360.15</v>
      </c>
      <c r="F229" s="6" t="n"/>
    </row>
    <row r="230">
      <c r="A230" s="6" t="inlineStr">
        <is>
          <t>602102263</t>
        </is>
      </c>
      <c r="B230" s="6" t="inlineStr">
        <is>
          <t>17/03/2026</t>
        </is>
      </c>
      <c r="C230" s="6" t="inlineStr">
        <is>
          <t>MANGUERA RIEGO</t>
        </is>
      </c>
      <c r="D230" s="6" t="inlineStr">
        <is>
          <t>COMERFONSA SL</t>
        </is>
      </c>
      <c r="E230" s="4" t="n">
        <v>142.11</v>
      </c>
      <c r="F230" s="6" t="n"/>
    </row>
    <row r="231">
      <c r="A231" s="6" t="inlineStr">
        <is>
          <t>F0018-026-54-0/0000185</t>
        </is>
      </c>
      <c r="B231" s="6" t="inlineStr">
        <is>
          <t>11/03/2026</t>
        </is>
      </c>
      <c r="C231" s="6" t="inlineStr">
        <is>
          <t>MATERIAL</t>
        </is>
      </c>
      <c r="D231" s="6" t="inlineStr">
        <is>
          <t>BRICOLAJE BRICOMAN SLU</t>
        </is>
      </c>
      <c r="E231" s="4" t="n">
        <v>2.02</v>
      </c>
      <c r="F231" s="6" t="n"/>
    </row>
    <row r="232">
      <c r="A232" s="6" t="inlineStr">
        <is>
          <t>142</t>
        </is>
      </c>
      <c r="B232" s="6" t="inlineStr">
        <is>
          <t>28/02/2026</t>
        </is>
      </c>
      <c r="C232" s="6" t="inlineStr">
        <is>
          <t>ASESORIA LABORAL FEBRERO</t>
        </is>
      </c>
      <c r="D232" s="6" t="inlineStr"/>
      <c r="E232" s="4" t="n">
        <v>260</v>
      </c>
      <c r="F232" s="6" t="n"/>
    </row>
    <row r="233">
      <c r="A233" s="6" t="inlineStr">
        <is>
          <t>A/502</t>
        </is>
      </c>
      <c r="B233" s="6" t="inlineStr">
        <is>
          <t>02/03/2026</t>
        </is>
      </c>
      <c r="C233" s="6" t="inlineStr">
        <is>
          <t>MATERIAL</t>
        </is>
      </c>
      <c r="D233" s="6" t="inlineStr">
        <is>
          <t>MATERIALES DE CONSTRUCCION LOS CAPITOS SL.</t>
        </is>
      </c>
      <c r="E233" s="4" t="n">
        <v>21.82</v>
      </c>
      <c r="F233" s="6" t="n"/>
    </row>
    <row r="234">
      <c r="A234" s="6" t="inlineStr">
        <is>
          <t>2600088</t>
        </is>
      </c>
      <c r="B234" s="6" t="inlineStr">
        <is>
          <t>04/03/2026</t>
        </is>
      </c>
      <c r="C234" s="6" t="inlineStr">
        <is>
          <t>PUERTA RELLENABLE GALVANIZADA</t>
        </is>
      </c>
      <c r="D234" s="6" t="inlineStr">
        <is>
          <t>TOSANTO SL</t>
        </is>
      </c>
      <c r="E234" s="4" t="n">
        <v>105.08</v>
      </c>
      <c r="F234" s="6" t="n"/>
    </row>
    <row r="235">
      <c r="A235" s="6" t="inlineStr">
        <is>
          <t>2600106</t>
        </is>
      </c>
      <c r="B235" s="6" t="inlineStr">
        <is>
          <t>04/03/2026</t>
        </is>
      </c>
      <c r="C235" s="6" t="inlineStr">
        <is>
          <t>PUERTA RELLENABLE</t>
        </is>
      </c>
      <c r="D235" s="6" t="inlineStr">
        <is>
          <t>TOSANTO SL</t>
        </is>
      </c>
      <c r="E235" s="4" t="n">
        <v>179.87</v>
      </c>
      <c r="F235" s="6" t="n"/>
    </row>
    <row r="236">
      <c r="A236" s="6" t="inlineStr">
        <is>
          <t>FE26390009325438</t>
        </is>
      </c>
      <c r="B236" s="6" t="inlineStr">
        <is>
          <t>05/03/2026</t>
        </is>
      </c>
      <c r="C236" s="6" t="inlineStr">
        <is>
          <t>NATURGY FEBRERO</t>
        </is>
      </c>
      <c r="D236" s="6" t="inlineStr"/>
      <c r="E236" s="4" t="n">
        <v>40.54</v>
      </c>
      <c r="F236" s="6" t="n"/>
    </row>
    <row r="237">
      <c r="A237" s="6" t="inlineStr">
        <is>
          <t>035651026/00000530</t>
        </is>
      </c>
      <c r="B237" s="6" t="inlineStr">
        <is>
          <t>07/03/2026</t>
        </is>
      </c>
      <c r="C237" s="6" t="inlineStr">
        <is>
          <t>REPOSTAJE</t>
        </is>
      </c>
      <c r="D237" s="6" t="inlineStr">
        <is>
          <t>VECTALIA OIL SL.</t>
        </is>
      </c>
      <c r="E237" s="4" t="n">
        <v>26.37</v>
      </c>
      <c r="F237" s="6" t="n"/>
    </row>
    <row r="238">
      <c r="A238" s="6" t="inlineStr">
        <is>
          <t>6/201068505</t>
        </is>
      </c>
      <c r="B238" s="6" t="inlineStr">
        <is>
          <t>08/03/2026</t>
        </is>
      </c>
      <c r="C238" s="6" t="inlineStr">
        <is>
          <t>VARIOS</t>
        </is>
      </c>
      <c r="D238" s="6" t="inlineStr">
        <is>
          <t>ESTACION OMEGA ESPINARDO SL</t>
        </is>
      </c>
      <c r="E238" s="4" t="n">
        <v>8.220000000000001</v>
      </c>
      <c r="F238" s="6" t="n"/>
    </row>
    <row r="239">
      <c r="A239" s="6" t="inlineStr">
        <is>
          <t>2600111</t>
        </is>
      </c>
      <c r="B239" s="6" t="inlineStr">
        <is>
          <t>09/03/2026</t>
        </is>
      </c>
      <c r="C239" s="6" t="inlineStr">
        <is>
          <t>CABALLETES TRABAJAO TELESCOPICOS</t>
        </is>
      </c>
      <c r="D239" s="6" t="inlineStr">
        <is>
          <t>TOSANTO SL</t>
        </is>
      </c>
      <c r="E239" s="4" t="n">
        <v>328.1</v>
      </c>
      <c r="F239" s="6" t="n"/>
    </row>
    <row r="240">
      <c r="A240" s="6" t="inlineStr">
        <is>
          <t>F0018-026-51-07/0002824</t>
        </is>
      </c>
      <c r="B240" s="6" t="inlineStr">
        <is>
          <t>10/03/2026</t>
        </is>
      </c>
      <c r="C240" s="6" t="inlineStr">
        <is>
          <t>CAPAZOS</t>
        </is>
      </c>
      <c r="D240" s="6" t="inlineStr">
        <is>
          <t>BRICOLAJE BRICOMAN SLU</t>
        </is>
      </c>
      <c r="E240" s="4" t="n">
        <v>28.51</v>
      </c>
      <c r="F240" s="6" t="n"/>
    </row>
    <row r="241">
      <c r="A241" s="6" t="inlineStr">
        <is>
          <t>ES0000030611120-1225</t>
        </is>
      </c>
      <c r="B241" s="6" t="inlineStr">
        <is>
          <t>05/01/2026</t>
        </is>
      </c>
      <c r="C241" s="6" t="inlineStr">
        <is>
          <t>VIA T ENERO</t>
        </is>
      </c>
      <c r="D241" s="6" t="inlineStr"/>
      <c r="E241" s="4" t="n">
        <v>10.81</v>
      </c>
      <c r="F241" s="6" t="n"/>
    </row>
    <row r="242">
      <c r="A242" s="6" t="inlineStr">
        <is>
          <t>ES0000030849450-0126</t>
        </is>
      </c>
      <c r="B242" s="6" t="inlineStr">
        <is>
          <t>03/02/2026</t>
        </is>
      </c>
      <c r="C242" s="6" t="inlineStr">
        <is>
          <t>VIA T FEBRERO</t>
        </is>
      </c>
      <c r="D242" s="6" t="inlineStr"/>
      <c r="E242" s="4" t="n">
        <v>32.52</v>
      </c>
      <c r="F242" s="6" t="n"/>
    </row>
    <row r="243">
      <c r="A243" s="6" t="inlineStr">
        <is>
          <t>#F260088899</t>
        </is>
      </c>
      <c r="B243" s="6" t="inlineStr">
        <is>
          <t>21/02/2026</t>
        </is>
      </c>
      <c r="C243" s="6" t="inlineStr">
        <is>
          <t>HOLDED FEBRERO</t>
        </is>
      </c>
      <c r="D243" s="6" t="inlineStr">
        <is>
          <t>HOLDED TECHNOLOGIES SL.</t>
        </is>
      </c>
      <c r="E243" s="4" t="n">
        <v>59</v>
      </c>
      <c r="F243" s="6" t="n"/>
    </row>
    <row r="244">
      <c r="A244" s="6" t="inlineStr">
        <is>
          <t>ES0000031076700-0226</t>
        </is>
      </c>
      <c r="B244" s="6" t="inlineStr">
        <is>
          <t>03/03/2026</t>
        </is>
      </c>
      <c r="C244" s="6" t="inlineStr">
        <is>
          <t>VIA T MARZO</t>
        </is>
      </c>
      <c r="D244" s="6" t="inlineStr"/>
      <c r="E244" s="4" t="n">
        <v>9.42</v>
      </c>
      <c r="F244" s="6" t="n"/>
    </row>
    <row r="245">
      <c r="A245" s="6" t="inlineStr">
        <is>
          <t>Nº3</t>
        </is>
      </c>
      <c r="B245" s="6" t="inlineStr">
        <is>
          <t>02/03/2026</t>
        </is>
      </c>
      <c r="C245" s="6" t="inlineStr">
        <is>
          <t>ALQUILER NAVE MARZO</t>
        </is>
      </c>
      <c r="D245" s="6" t="inlineStr">
        <is>
          <t>PINKY VELVET INTERNATIONAL SL</t>
        </is>
      </c>
      <c r="E245" s="4" t="n">
        <v>350</v>
      </c>
      <c r="F245" s="6" t="n"/>
    </row>
    <row r="246">
      <c r="A246" s="6" t="inlineStr">
        <is>
          <t>V-26-02-18969</t>
        </is>
      </c>
      <c r="B246" s="6" t="inlineStr">
        <is>
          <t>28/02/2026</t>
        </is>
      </c>
      <c r="C246" s="6" t="inlineStr">
        <is>
          <t>GASOLINA FEBRERO</t>
        </is>
      </c>
      <c r="D246" s="6" t="inlineStr">
        <is>
          <t>PLENOIL SL.</t>
        </is>
      </c>
      <c r="E246" s="4" t="n">
        <v>1017.62</v>
      </c>
      <c r="F246" s="6" t="n"/>
    </row>
    <row r="247">
      <c r="A247" s="6" t="inlineStr">
        <is>
          <t>M01/0087059497</t>
        </is>
      </c>
      <c r="B247" s="6" t="inlineStr">
        <is>
          <t>05/03/2026</t>
        </is>
      </c>
      <c r="C247" s="6" t="inlineStr">
        <is>
          <t>JAZZTEL FEBRERO</t>
        </is>
      </c>
      <c r="D247" s="6" t="inlineStr">
        <is>
          <t>ORANGE ESPAGNE SAU.</t>
        </is>
      </c>
      <c r="E247" s="4" t="n">
        <v>41.28</v>
      </c>
      <c r="F247" s="6" t="n"/>
    </row>
    <row r="248">
      <c r="A248" s="6" t="inlineStr">
        <is>
          <t>2026-0025</t>
        </is>
      </c>
      <c r="B248" s="6" t="inlineStr">
        <is>
          <t>01/01/2026</t>
        </is>
      </c>
      <c r="C248" s="6" t="inlineStr">
        <is>
          <t>IGUALA ENERO</t>
        </is>
      </c>
      <c r="D248" s="6" t="inlineStr"/>
      <c r="E248" s="4" t="n">
        <v>360.15</v>
      </c>
      <c r="F248" s="6" t="n"/>
    </row>
    <row r="249">
      <c r="A249" s="6" t="inlineStr">
        <is>
          <t>005710/A/26/000213</t>
        </is>
      </c>
      <c r="B249" s="6" t="inlineStr">
        <is>
          <t>26/02/2026</t>
        </is>
      </c>
      <c r="C249" s="6" t="inlineStr">
        <is>
          <t>REPOSTAJE</t>
        </is>
      </c>
      <c r="D249" s="6" t="inlineStr">
        <is>
          <t>REPSOL SOLUCIONES ENERGETICAS SA.</t>
        </is>
      </c>
      <c r="E249" s="4" t="n">
        <v>33.06</v>
      </c>
      <c r="F249" s="6" t="n"/>
    </row>
    <row r="250">
      <c r="A250" s="6" t="inlineStr">
        <is>
          <t>26MET01030</t>
        </is>
      </c>
      <c r="B250" s="6" t="inlineStr">
        <is>
          <t>26/02/2026</t>
        </is>
      </c>
      <c r="C250" s="6" t="inlineStr">
        <is>
          <t>REPOSTAJE</t>
        </is>
      </c>
      <c r="D250" s="6" t="inlineStr">
        <is>
          <t>FLASH-CAR LEVANTE SERVICIOS SL</t>
        </is>
      </c>
      <c r="E250" s="4" t="n">
        <v>16.53</v>
      </c>
      <c r="F250" s="6" t="n"/>
    </row>
    <row r="251">
      <c r="A251" s="6" t="inlineStr">
        <is>
          <t>260084</t>
        </is>
      </c>
      <c r="B251" s="6" t="inlineStr">
        <is>
          <t>27/02/2026</t>
        </is>
      </c>
      <c r="C251" s="6" t="inlineStr">
        <is>
          <t>MATERIAL</t>
        </is>
      </c>
      <c r="D251" s="6" t="inlineStr">
        <is>
          <t>ROSALIA MARTINEZ RUIZ</t>
        </is>
      </c>
      <c r="E251" s="4" t="n">
        <v>13.84</v>
      </c>
      <c r="F251" s="6" t="n"/>
    </row>
    <row r="252">
      <c r="A252" s="6" t="inlineStr">
        <is>
          <t>18132026FN00000003</t>
        </is>
      </c>
      <c r="B252" s="6" t="inlineStr">
        <is>
          <t>05/03/2026</t>
        </is>
      </c>
      <c r="C252" s="6" t="inlineStr">
        <is>
          <t>REPOSTAJE</t>
        </is>
      </c>
      <c r="D252" s="6" t="inlineStr">
        <is>
          <t>CAMPSA ESTACIONES DE SERVICIO SA</t>
        </is>
      </c>
      <c r="E252" s="4" t="n">
        <v>19.79</v>
      </c>
      <c r="F252" s="6" t="n"/>
    </row>
    <row r="253">
      <c r="A253" s="6" t="inlineStr">
        <is>
          <t>INV/2026/00026</t>
        </is>
      </c>
      <c r="B253" s="6" t="inlineStr">
        <is>
          <t>06/02/2026</t>
        </is>
      </c>
      <c r="C253" s="6" t="inlineStr">
        <is>
          <t>PROLONGADOR 50M IP55</t>
        </is>
      </c>
      <c r="D253" s="6" t="inlineStr">
        <is>
          <t>JUAN JOSÉ MUÑOZ ROBLES</t>
        </is>
      </c>
      <c r="E253" s="4" t="n">
        <v>1203.5</v>
      </c>
      <c r="F253" s="6" t="n"/>
    </row>
    <row r="254">
      <c r="A254" s="6" t="inlineStr">
        <is>
          <t>INV/2026/00025</t>
        </is>
      </c>
      <c r="B254" s="6" t="inlineStr">
        <is>
          <t>06/02/2026</t>
        </is>
      </c>
      <c r="C254" s="6" t="inlineStr">
        <is>
          <t>GENERADOR MOTOR HONDA</t>
        </is>
      </c>
      <c r="D254" s="6" t="inlineStr">
        <is>
          <t>JUAN JOSÉ MUÑOZ ROBLES</t>
        </is>
      </c>
      <c r="E254" s="4" t="n">
        <v>1430</v>
      </c>
      <c r="F254" s="6" t="n"/>
    </row>
    <row r="255">
      <c r="A255" s="6" t="inlineStr">
        <is>
          <t>6/201062718</t>
        </is>
      </c>
      <c r="B255" s="6" t="inlineStr">
        <is>
          <t>07/02/2026</t>
        </is>
      </c>
      <c r="C255" s="6" t="inlineStr">
        <is>
          <t>REPOSTAJE</t>
        </is>
      </c>
      <c r="D255" s="6" t="inlineStr">
        <is>
          <t>ESTACION OMEGA ESPINARDO SL</t>
        </is>
      </c>
      <c r="E255" s="4" t="n">
        <v>15.48</v>
      </c>
      <c r="F255" s="6" t="n"/>
    </row>
    <row r="256">
      <c r="A256" s="6" t="inlineStr">
        <is>
          <t>FE2630005167586</t>
        </is>
      </c>
      <c r="B256" s="6" t="inlineStr">
        <is>
          <t>05/02/2026</t>
        </is>
      </c>
      <c r="C256" s="6" t="inlineStr">
        <is>
          <t>NATURGY ENERO</t>
        </is>
      </c>
      <c r="D256" s="6" t="inlineStr">
        <is>
          <t>NATURGY IBERIA SA.</t>
        </is>
      </c>
      <c r="E256" s="4" t="n">
        <v>48.52</v>
      </c>
      <c r="F256" s="6" t="n"/>
    </row>
    <row r="257">
      <c r="A257" s="6" t="inlineStr">
        <is>
          <t>M01/0087025989</t>
        </is>
      </c>
      <c r="B257" s="6" t="inlineStr">
        <is>
          <t>05/02/2026</t>
        </is>
      </c>
      <c r="C257" s="6" t="inlineStr">
        <is>
          <t>JAZZTEL ENERO</t>
        </is>
      </c>
      <c r="D257" s="6" t="inlineStr">
        <is>
          <t>ORANGE ESPAGNE SAU.</t>
        </is>
      </c>
      <c r="E257" s="4" t="n">
        <v>41.28</v>
      </c>
      <c r="F257" s="6" t="n"/>
    </row>
    <row r="258">
      <c r="A258" s="6" t="inlineStr">
        <is>
          <t>INV/2026/00027</t>
        </is>
      </c>
      <c r="B258" s="6" t="inlineStr">
        <is>
          <t>06/02/2026</t>
        </is>
      </c>
      <c r="C258" s="6" t="inlineStr">
        <is>
          <t>GUANTES TRABAJO</t>
        </is>
      </c>
      <c r="D258" s="6" t="inlineStr">
        <is>
          <t>JUAN JOSÉ MUÑOZ ROBLES</t>
        </is>
      </c>
      <c r="E258" s="4" t="n">
        <v>120</v>
      </c>
      <c r="F258" s="6" t="n"/>
    </row>
    <row r="259">
      <c r="A259" s="6" t="inlineStr">
        <is>
          <t>26FP000201</t>
        </is>
      </c>
      <c r="B259" s="6" t="inlineStr">
        <is>
          <t>03/02/2026</t>
        </is>
      </c>
      <c r="C259" s="6" t="inlineStr">
        <is>
          <t>REPOSTAJE</t>
        </is>
      </c>
      <c r="D259" s="6" t="inlineStr">
        <is>
          <t>E.S. PINOSO S.L.</t>
        </is>
      </c>
      <c r="E259" s="4" t="n">
        <v>61.99</v>
      </c>
      <c r="F259" s="6" t="n"/>
    </row>
    <row r="260">
      <c r="A260" s="6" t="inlineStr">
        <is>
          <t>A26-0031</t>
        </is>
      </c>
      <c r="B260" s="6" t="inlineStr">
        <is>
          <t>03/02/2026</t>
        </is>
      </c>
      <c r="C260" s="6" t="inlineStr">
        <is>
          <t>ON BOARGING BILLD IN</t>
        </is>
      </c>
      <c r="D260" s="6" t="inlineStr">
        <is>
          <t>SIDE QUEST APES, S.L.</t>
        </is>
      </c>
      <c r="E260" s="4" t="n">
        <v>1200</v>
      </c>
      <c r="F260" s="6" t="n"/>
    </row>
    <row r="261">
      <c r="A261" s="6" t="inlineStr">
        <is>
          <t>6/201062120</t>
        </is>
      </c>
      <c r="B261" s="6" t="inlineStr">
        <is>
          <t>04/02/2026</t>
        </is>
      </c>
      <c r="C261" s="6" t="inlineStr">
        <is>
          <t>REPOSTAJE</t>
        </is>
      </c>
      <c r="D261" s="6" t="inlineStr">
        <is>
          <t>ESTACION OMEGA ESPINARDO SL</t>
        </is>
      </c>
      <c r="E261" s="4" t="n">
        <v>19.26</v>
      </c>
      <c r="F261" s="6" t="n"/>
    </row>
    <row r="262">
      <c r="A262" s="6" t="inlineStr">
        <is>
          <t>45</t>
        </is>
      </c>
      <c r="B262" s="6" t="inlineStr">
        <is>
          <t>31/01/2026</t>
        </is>
      </c>
      <c r="C262" s="6" t="inlineStr">
        <is>
          <t>CHAQUETAS LABORAL</t>
        </is>
      </c>
      <c r="D262" s="6" t="inlineStr">
        <is>
          <t>INDICATIVO SL</t>
        </is>
      </c>
      <c r="E262" s="4" t="n">
        <v>430</v>
      </c>
      <c r="F262" s="6" t="n"/>
    </row>
    <row r="263">
      <c r="A263" s="6" t="inlineStr">
        <is>
          <t>2</t>
        </is>
      </c>
      <c r="B263" s="6" t="inlineStr">
        <is>
          <t>02/02/2026</t>
        </is>
      </c>
      <c r="C263" s="6" t="inlineStr">
        <is>
          <t>ALQUILER NAVE FEBRERO</t>
        </is>
      </c>
      <c r="D263" s="6" t="inlineStr">
        <is>
          <t>PINKY VELVET INTERNATIONAL SL</t>
        </is>
      </c>
      <c r="E263" s="4" t="n">
        <v>350</v>
      </c>
      <c r="F263" s="6" t="n"/>
    </row>
    <row r="264">
      <c r="A264" s="6" t="inlineStr">
        <is>
          <t>005710/A/26/000120</t>
        </is>
      </c>
      <c r="B264" s="6" t="inlineStr">
        <is>
          <t>03/02/2026</t>
        </is>
      </c>
      <c r="C264" s="6" t="inlineStr">
        <is>
          <t>REPOSTAJE</t>
        </is>
      </c>
      <c r="D264" s="6" t="inlineStr">
        <is>
          <t>REPSOL SOLUCIONES ENERGETICAS SA.</t>
        </is>
      </c>
      <c r="E264" s="4" t="n">
        <v>74.38</v>
      </c>
      <c r="F264" s="6" t="n"/>
    </row>
    <row r="265">
      <c r="A265" s="6" t="inlineStr">
        <is>
          <t>26FP000199</t>
        </is>
      </c>
      <c r="B265" s="6" t="inlineStr">
        <is>
          <t>03/02/2026</t>
        </is>
      </c>
      <c r="C265" s="6" t="inlineStr">
        <is>
          <t>REPOSTAJE</t>
        </is>
      </c>
      <c r="D265" s="6" t="inlineStr">
        <is>
          <t>E.S. PINOSO S.L.</t>
        </is>
      </c>
      <c r="E265" s="4" t="n">
        <v>37.19</v>
      </c>
      <c r="F265" s="6" t="n"/>
    </row>
    <row r="266">
      <c r="A266" s="6" t="inlineStr">
        <is>
          <t>INV/2026/00014</t>
        </is>
      </c>
      <c r="B266" s="6" t="inlineStr">
        <is>
          <t>29/01/2026</t>
        </is>
      </c>
      <c r="C266" s="6" t="inlineStr">
        <is>
          <t>ROLLO HILO DE ALAMBRE</t>
        </is>
      </c>
      <c r="D266" s="6" t="inlineStr">
        <is>
          <t>JUAN JOSÉ MUÑOZ ROBLES</t>
        </is>
      </c>
      <c r="E266" s="4" t="n">
        <v>300</v>
      </c>
      <c r="F266" s="6" t="n"/>
    </row>
    <row r="267">
      <c r="A267" s="6" t="inlineStr">
        <is>
          <t>FV26-01517</t>
        </is>
      </c>
      <c r="B267" s="6" t="inlineStr">
        <is>
          <t>31/01/2026</t>
        </is>
      </c>
      <c r="C267" s="6" t="inlineStr">
        <is>
          <t>GUANTE SOLDADOR / MASCARILLA / SOPLETE</t>
        </is>
      </c>
      <c r="D267" s="6" t="inlineStr">
        <is>
          <t>SUMINISTROS INDUSTRIALES FARELL SA</t>
        </is>
      </c>
      <c r="E267" s="4" t="n">
        <v>160.74</v>
      </c>
      <c r="F267" s="6" t="n"/>
    </row>
    <row r="268">
      <c r="A268" s="6" t="inlineStr">
        <is>
          <t>18132026FN00000001</t>
        </is>
      </c>
      <c r="B268" s="6" t="inlineStr">
        <is>
          <t>22/01/2026</t>
        </is>
      </c>
      <c r="C268" s="6" t="inlineStr">
        <is>
          <t>REPOSTAJE</t>
        </is>
      </c>
      <c r="D268" s="6" t="inlineStr">
        <is>
          <t>CAMPSA ESTACIONES DE SERVICIO SA</t>
        </is>
      </c>
      <c r="E268" s="4" t="n">
        <v>13.18</v>
      </c>
      <c r="F268" s="6" t="n"/>
    </row>
    <row r="269">
      <c r="A269" s="6" t="inlineStr">
        <is>
          <t>055513026/00000162</t>
        </is>
      </c>
      <c r="B269" s="6" t="inlineStr">
        <is>
          <t>22/01/2026</t>
        </is>
      </c>
      <c r="C269" s="6" t="inlineStr">
        <is>
          <t>REPOSTAJE</t>
        </is>
      </c>
      <c r="D269" s="6" t="inlineStr">
        <is>
          <t>REATA ESTACIONES SL.</t>
        </is>
      </c>
      <c r="E269" s="4" t="n">
        <v>29.38</v>
      </c>
      <c r="F269" s="6" t="n"/>
    </row>
    <row r="270">
      <c r="A270" s="6" t="inlineStr">
        <is>
          <t>026-0001-415359</t>
        </is>
      </c>
      <c r="B270" s="6" t="inlineStr">
        <is>
          <t>29/01/2026</t>
        </is>
      </c>
      <c r="C270" s="6" t="inlineStr">
        <is>
          <t>ALARGADERA</t>
        </is>
      </c>
      <c r="D270" s="6" t="inlineStr">
        <is>
          <t>BRICOLAJE BRICOMAN SLU</t>
        </is>
      </c>
      <c r="E270" s="4" t="n">
        <v>51.24</v>
      </c>
      <c r="F270" s="6" t="n"/>
    </row>
    <row r="271">
      <c r="A271" s="6" t="inlineStr">
        <is>
          <t>INV/2026/00015</t>
        </is>
      </c>
      <c r="B271" s="6" t="inlineStr">
        <is>
          <t>29/01/2026</t>
        </is>
      </c>
      <c r="C271" s="6" t="inlineStr">
        <is>
          <t>PROLONGADOR 50M IP55</t>
        </is>
      </c>
      <c r="D271" s="6" t="inlineStr">
        <is>
          <t>JUAN JOSÉ MUÑOZ ROBLES</t>
        </is>
      </c>
      <c r="E271" s="4" t="n">
        <v>234</v>
      </c>
      <c r="F271" s="6" t="n"/>
    </row>
    <row r="272">
      <c r="A272" s="6" t="inlineStr">
        <is>
          <t>618104210</t>
        </is>
      </c>
      <c r="B272" s="6" t="inlineStr">
        <is>
          <t>15/01/2026</t>
        </is>
      </c>
      <c r="C272" s="6" t="inlineStr">
        <is>
          <t>VARIOS</t>
        </is>
      </c>
      <c r="D272" s="6" t="inlineStr">
        <is>
          <t>JYSK DBL IBERIA SLU</t>
        </is>
      </c>
      <c r="E272" s="4" t="n">
        <v>44.86</v>
      </c>
      <c r="F272" s="6" t="n"/>
    </row>
    <row r="273">
      <c r="A273" s="6" t="inlineStr">
        <is>
          <t>346593</t>
        </is>
      </c>
      <c r="B273" s="6" t="inlineStr">
        <is>
          <t>20/01/2026</t>
        </is>
      </c>
      <c r="C273" s="6" t="inlineStr">
        <is>
          <t>REPOSTAJE</t>
        </is>
      </c>
      <c r="D273" s="6" t="inlineStr">
        <is>
          <t>CONCORDY SA</t>
        </is>
      </c>
      <c r="E273" s="4" t="n">
        <v>56.07</v>
      </c>
      <c r="F273" s="6" t="n"/>
    </row>
    <row r="274">
      <c r="A274" s="6" t="inlineStr">
        <is>
          <t>37</t>
        </is>
      </c>
      <c r="B274" s="6" t="inlineStr">
        <is>
          <t>20/01/2026</t>
        </is>
      </c>
      <c r="C274" s="6" t="inlineStr">
        <is>
          <t>PEGATINAS VALLAS</t>
        </is>
      </c>
      <c r="D274" s="6" t="inlineStr">
        <is>
          <t>INDICATIVO SL</t>
        </is>
      </c>
      <c r="E274" s="4" t="n">
        <v>200</v>
      </c>
      <c r="F274" s="6" t="n"/>
    </row>
    <row r="275">
      <c r="A275" s="6" t="inlineStr">
        <is>
          <t>DGFCJ2600056841</t>
        </is>
      </c>
      <c r="B275" s="6" t="inlineStr">
        <is>
          <t>22/01/2026</t>
        </is>
      </c>
      <c r="C275" s="6" t="inlineStr">
        <is>
          <t>DIGI ENERO</t>
        </is>
      </c>
      <c r="D275" s="6" t="inlineStr">
        <is>
          <t>DIGI SPAIN TELECOM SL</t>
        </is>
      </c>
      <c r="E275" s="4" t="n">
        <v>9.09</v>
      </c>
      <c r="F275" s="6" t="n"/>
    </row>
    <row r="276">
      <c r="A276" s="6" t="inlineStr">
        <is>
          <t>FE26390001083912</t>
        </is>
      </c>
      <c r="B276" s="6" t="inlineStr">
        <is>
          <t>08/01/2026</t>
        </is>
      </c>
      <c r="C276" s="6" t="inlineStr">
        <is>
          <t>NATURGY DICIEMBRE</t>
        </is>
      </c>
      <c r="D276" s="6" t="inlineStr">
        <is>
          <t>NATURGY IBERIA SA.</t>
        </is>
      </c>
      <c r="E276" s="4" t="n">
        <v>32.89</v>
      </c>
      <c r="F276" s="6" t="n"/>
    </row>
    <row r="277">
      <c r="A277" s="6" t="inlineStr">
        <is>
          <t>26.801</t>
        </is>
      </c>
      <c r="B277" s="6" t="inlineStr">
        <is>
          <t>09/01/2026</t>
        </is>
      </c>
      <c r="C277" s="6" t="inlineStr">
        <is>
          <t>MAQUINA STHILL</t>
        </is>
      </c>
      <c r="D277" s="6" t="inlineStr">
        <is>
          <t>MARHUENDA IMPORTACIONES SL</t>
        </is>
      </c>
      <c r="E277" s="4" t="n">
        <v>1716.53</v>
      </c>
      <c r="F277" s="6" t="n"/>
    </row>
    <row r="278">
      <c r="A278" s="6" t="inlineStr">
        <is>
          <t>031-0001-025095</t>
        </is>
      </c>
      <c r="B278" s="6" t="inlineStr">
        <is>
          <t>13/01/2026</t>
        </is>
      </c>
      <c r="C278" s="6" t="inlineStr">
        <is>
          <t>CALZADO LABORAL</t>
        </is>
      </c>
      <c r="D278" s="6" t="inlineStr">
        <is>
          <t>BRICOLAJE BRICOMAN SLU</t>
        </is>
      </c>
      <c r="E278" s="4" t="n">
        <v>119.09</v>
      </c>
      <c r="F278" s="6" t="n"/>
    </row>
    <row r="279">
      <c r="A279" s="6" t="inlineStr">
        <is>
          <t>6/201058487</t>
        </is>
      </c>
      <c r="B279" s="6" t="inlineStr">
        <is>
          <t>14/01/2026</t>
        </is>
      </c>
      <c r="C279" s="6" t="inlineStr">
        <is>
          <t>REPOSTAJE</t>
        </is>
      </c>
      <c r="D279" s="6" t="inlineStr">
        <is>
          <t>ESTACION OMEGA ESPINARDO SL</t>
        </is>
      </c>
      <c r="E279" s="4" t="n">
        <v>16.94</v>
      </c>
      <c r="F279" s="6" t="n"/>
    </row>
    <row r="280">
      <c r="A280" s="6" t="inlineStr">
        <is>
          <t>M01/0086992086</t>
        </is>
      </c>
      <c r="B280" s="6" t="inlineStr">
        <is>
          <t>05/01/2026</t>
        </is>
      </c>
      <c r="C280" s="6" t="inlineStr">
        <is>
          <t>JAZZTEL DICIEMBRE</t>
        </is>
      </c>
      <c r="D280" s="6" t="inlineStr">
        <is>
          <t>ORANGE ESPAGNE SAU.</t>
        </is>
      </c>
      <c r="E280" s="4" t="n">
        <v>73.02</v>
      </c>
      <c r="F280" s="6" t="n"/>
    </row>
    <row r="281">
      <c r="A281" s="6" t="inlineStr">
        <is>
          <t>FE25390028648675</t>
        </is>
      </c>
      <c r="B281" s="6" t="inlineStr">
        <is>
          <t>06/03/2026</t>
        </is>
      </c>
      <c r="C281" s="6" t="inlineStr">
        <is>
          <t>NATURGY AGOSTO</t>
        </is>
      </c>
      <c r="D281" s="6" t="inlineStr">
        <is>
          <t>NATURGY IBERIA SA.</t>
        </is>
      </c>
      <c r="E281" s="4" t="n">
        <v>19.68</v>
      </c>
      <c r="F281" s="6" t="n"/>
    </row>
    <row r="282">
      <c r="A282" s="6" t="inlineStr">
        <is>
          <t>V-26-01-19308</t>
        </is>
      </c>
      <c r="B282" s="6" t="inlineStr">
        <is>
          <t>31/01/2026</t>
        </is>
      </c>
      <c r="C282" s="6" t="inlineStr">
        <is>
          <t>PLENOIL ENERO</t>
        </is>
      </c>
      <c r="D282" s="6" t="inlineStr">
        <is>
          <t>PLENOIL SL.</t>
        </is>
      </c>
      <c r="E282" s="4" t="n">
        <v>1109.93</v>
      </c>
      <c r="F282" s="6" t="n"/>
    </row>
    <row r="283">
      <c r="A283" s="6" t="inlineStr">
        <is>
          <t>01262026A100017608</t>
        </is>
      </c>
      <c r="B283" s="6" t="inlineStr">
        <is>
          <t>10/02/2026</t>
        </is>
      </c>
      <c r="C283" s="6" t="inlineStr">
        <is>
          <t>AGUA ENERO</t>
        </is>
      </c>
      <c r="D283" s="6" t="inlineStr">
        <is>
          <t>HIDRAQUA GESTIÓN INTEGRAL DE AGUAS DE LEVANTE SL</t>
        </is>
      </c>
      <c r="E283" s="4" t="n">
        <v>31.33</v>
      </c>
      <c r="F283" s="6" t="n"/>
    </row>
    <row r="284">
      <c r="A284" s="6" t="inlineStr">
        <is>
          <t>S101-000147</t>
        </is>
      </c>
      <c r="B284" s="6" t="inlineStr">
        <is>
          <t>17/02/2026</t>
        </is>
      </c>
      <c r="C284" s="6" t="inlineStr">
        <is>
          <t>SELLO FACTURAS</t>
        </is>
      </c>
      <c r="D284" s="6" t="inlineStr">
        <is>
          <t>ENDLESS SYSTEMS SLU</t>
        </is>
      </c>
      <c r="E284" s="4" t="n">
        <v>26.45</v>
      </c>
      <c r="F284" s="6" t="n"/>
    </row>
    <row r="285">
      <c r="A285" s="6" t="inlineStr">
        <is>
          <t>INV/2026/00042</t>
        </is>
      </c>
      <c r="B285" s="6" t="inlineStr">
        <is>
          <t>17/02/2026</t>
        </is>
      </c>
      <c r="C285" s="6" t="inlineStr">
        <is>
          <t>ROLLO ALAMBRE</t>
        </is>
      </c>
      <c r="D285" s="6" t="inlineStr">
        <is>
          <t>JUAN JOSÉ MUÑOZ ROBLES</t>
        </is>
      </c>
      <c r="E285" s="4" t="n">
        <v>1000</v>
      </c>
      <c r="F285" s="6" t="n"/>
    </row>
    <row r="286">
      <c r="A286" s="6" t="inlineStr">
        <is>
          <t>INV/2026/00041</t>
        </is>
      </c>
      <c r="B286" s="6" t="inlineStr">
        <is>
          <t>17/02/2026</t>
        </is>
      </c>
      <c r="C286" s="6" t="inlineStr">
        <is>
          <t>MATERIAL OBRA</t>
        </is>
      </c>
      <c r="D286" s="6" t="inlineStr">
        <is>
          <t>JUAN JOSÉ MUÑOZ ROBLES</t>
        </is>
      </c>
      <c r="E286" s="4" t="n">
        <v>389.7</v>
      </c>
      <c r="F286" s="6" t="n"/>
    </row>
    <row r="287">
      <c r="A287" s="6" t="inlineStr">
        <is>
          <t>64</t>
        </is>
      </c>
      <c r="B287" s="6" t="inlineStr">
        <is>
          <t>31/01/2026</t>
        </is>
      </c>
      <c r="C287" s="6" t="inlineStr">
        <is>
          <t>ASESORIA LABORAL ENERO</t>
        </is>
      </c>
      <c r="D287" s="6" t="inlineStr"/>
      <c r="E287" s="4" t="n">
        <v>260</v>
      </c>
      <c r="F287" s="6" t="n"/>
    </row>
    <row r="288">
      <c r="A288" s="6" t="inlineStr">
        <is>
          <t>1</t>
        </is>
      </c>
      <c r="B288" s="6" t="inlineStr">
        <is>
          <t>04/01/2026</t>
        </is>
      </c>
      <c r="C288" s="6" t="inlineStr">
        <is>
          <t>ALQUILER NAVE ENERO</t>
        </is>
      </c>
      <c r="D288" s="6" t="inlineStr">
        <is>
          <t>PINKY VELVET INTERNATIONAL SL</t>
        </is>
      </c>
      <c r="E288" s="4" t="n">
        <v>350</v>
      </c>
      <c r="F288" s="6" t="n"/>
    </row>
    <row r="289">
      <c r="A289" s="6" t="inlineStr">
        <is>
          <t>048304026/00000807</t>
        </is>
      </c>
      <c r="B289" s="6" t="inlineStr">
        <is>
          <t>04/03/2026</t>
        </is>
      </c>
      <c r="C289" s="6" t="inlineStr">
        <is>
          <t>REPOSTAJE</t>
        </is>
      </c>
      <c r="D289" s="6" t="inlineStr">
        <is>
          <t>JR VIDAL RICO SL</t>
        </is>
      </c>
      <c r="E289" s="4" t="n">
        <v>59.66</v>
      </c>
      <c r="F289" s="6" t="n"/>
    </row>
    <row r="290">
      <c r="A290" s="6" t="inlineStr">
        <is>
          <t>L021-81</t>
        </is>
      </c>
      <c r="B290" s="6" t="inlineStr">
        <is>
          <t>18/02/2026</t>
        </is>
      </c>
      <c r="C290" s="6" t="inlineStr">
        <is>
          <t>REPOSTAJE</t>
        </is>
      </c>
      <c r="D290" s="6" t="inlineStr">
        <is>
          <t>E.E. CAÑIZARES, CB</t>
        </is>
      </c>
      <c r="E290" s="4" t="n">
        <v>74.38</v>
      </c>
      <c r="F290" s="6" t="n"/>
    </row>
    <row r="291">
      <c r="A291" s="6" t="inlineStr">
        <is>
          <t>FV-26-005110</t>
        </is>
      </c>
      <c r="B291" s="6" t="inlineStr">
        <is>
          <t>20/02/2026</t>
        </is>
      </c>
      <c r="C291" s="6" t="inlineStr">
        <is>
          <t>GUANTES</t>
        </is>
      </c>
      <c r="D291" s="6" t="inlineStr">
        <is>
          <t>HIJOS DE JOSE BUSQUIER SL</t>
        </is>
      </c>
      <c r="E291" s="4" t="n">
        <v>7.25</v>
      </c>
      <c r="F291" s="6" t="n"/>
    </row>
    <row r="292">
      <c r="A292" s="6" t="inlineStr">
        <is>
          <t>FV26-004716</t>
        </is>
      </c>
      <c r="B292" s="6" t="inlineStr">
        <is>
          <t>20/02/2026</t>
        </is>
      </c>
      <c r="C292" s="6" t="inlineStr">
        <is>
          <t>MATERIAL OBRA</t>
        </is>
      </c>
      <c r="D292" s="6" t="inlineStr">
        <is>
          <t>HIJOS DE JOSE BUSQUIER SL</t>
        </is>
      </c>
      <c r="E292" s="4" t="n">
        <v>321.37</v>
      </c>
      <c r="F292" s="6" t="n"/>
    </row>
    <row r="293">
      <c r="A293" s="6" t="inlineStr">
        <is>
          <t>26FP000345</t>
        </is>
      </c>
      <c r="B293" s="6" t="inlineStr">
        <is>
          <t>25/02/2026</t>
        </is>
      </c>
      <c r="C293" s="6" t="inlineStr">
        <is>
          <t>REPOSTAJE</t>
        </is>
      </c>
      <c r="D293" s="6" t="inlineStr">
        <is>
          <t>E.S. PINOSO S.L.</t>
        </is>
      </c>
      <c r="E293" s="4" t="n">
        <v>24.9</v>
      </c>
      <c r="F293" s="6" t="n"/>
    </row>
    <row r="294">
      <c r="A294" s="6" t="inlineStr">
        <is>
          <t>005710/A/26/000210</t>
        </is>
      </c>
      <c r="B294" s="6" t="inlineStr">
        <is>
          <t>26/02/2026</t>
        </is>
      </c>
      <c r="C294" s="6" t="inlineStr">
        <is>
          <t>REPOSTAJE</t>
        </is>
      </c>
      <c r="D294" s="6" t="inlineStr">
        <is>
          <t>REPSOL SOLUCIONES ENERGETICAS SA.</t>
        </is>
      </c>
      <c r="E294" s="4" t="n">
        <v>63.79</v>
      </c>
      <c r="F294" s="6" t="n"/>
    </row>
    <row r="295">
      <c r="A295" s="6" t="inlineStr">
        <is>
          <t>INV/2026/00048</t>
        </is>
      </c>
      <c r="B295" s="6" t="inlineStr">
        <is>
          <t>25/02/2026</t>
        </is>
      </c>
      <c r="C295" s="6" t="inlineStr">
        <is>
          <t>MASCARILLAS / CALDERETA / NIVEL ASER</t>
        </is>
      </c>
      <c r="D295" s="6" t="inlineStr">
        <is>
          <t>JUAN JOSÉ MUÑOZ ROBLES</t>
        </is>
      </c>
      <c r="E295" s="4" t="n">
        <v>976.7</v>
      </c>
      <c r="F295" s="6" t="n"/>
    </row>
    <row r="296">
      <c r="A296" s="6" t="inlineStr">
        <is>
          <t>2026/A-789</t>
        </is>
      </c>
      <c r="B296" s="6" t="inlineStr">
        <is>
          <t>15/02/2026</t>
        </is>
      </c>
      <c r="C296" s="6" t="inlineStr">
        <is>
          <t>BARNIZ</t>
        </is>
      </c>
      <c r="D296" s="6" t="inlineStr">
        <is>
          <t>PINTURAS IDELLA SL.</t>
        </is>
      </c>
      <c r="E296" s="4" t="n">
        <v>7.34</v>
      </c>
      <c r="F296" s="6" t="n"/>
    </row>
    <row r="297">
      <c r="A297" s="6" t="inlineStr">
        <is>
          <t>DGFCJ2600124525</t>
        </is>
      </c>
      <c r="B297" s="6" t="inlineStr">
        <is>
          <t>23/02/2026</t>
        </is>
      </c>
      <c r="C297" s="6" t="inlineStr">
        <is>
          <t>DIGI FEBRERO</t>
        </is>
      </c>
      <c r="D297" s="6" t="inlineStr">
        <is>
          <t>DIGI SPAIN TELECOM SL</t>
        </is>
      </c>
      <c r="E297" s="4" t="n">
        <v>9.09</v>
      </c>
      <c r="F297" s="6" t="n"/>
    </row>
    <row r="298">
      <c r="A298" s="6" t="inlineStr">
        <is>
          <t>FV26-004861</t>
        </is>
      </c>
      <c r="B298" s="6" t="inlineStr">
        <is>
          <t>23/02/2026</t>
        </is>
      </c>
      <c r="C298" s="6" t="inlineStr">
        <is>
          <t>CAPAZO / BORRIQUETA / TAPA CONTADOR</t>
        </is>
      </c>
      <c r="D298" s="6" t="inlineStr">
        <is>
          <t>HIJOS DE JOSE BUSQUIER SL</t>
        </is>
      </c>
      <c r="E298" s="4" t="n">
        <v>143.47</v>
      </c>
      <c r="F298" s="6" t="n"/>
    </row>
    <row r="299">
      <c r="A299" s="6" t="inlineStr">
        <is>
          <t>FV26-004890</t>
        </is>
      </c>
      <c r="B299" s="6" t="inlineStr">
        <is>
          <t>23/02/2026</t>
        </is>
      </c>
      <c r="C299" s="6" t="inlineStr">
        <is>
          <t>ESPATULA</t>
        </is>
      </c>
      <c r="D299" s="6" t="inlineStr">
        <is>
          <t>HIJOS DE JOSE BUSQUIER SL</t>
        </is>
      </c>
      <c r="E299" s="4" t="n">
        <v>54.51</v>
      </c>
      <c r="F299" s="6" t="n"/>
    </row>
    <row r="300">
      <c r="A300" s="6" t="inlineStr">
        <is>
          <t>2600538</t>
        </is>
      </c>
      <c r="B300" s="6" t="inlineStr">
        <is>
          <t>16/02/2026</t>
        </is>
      </c>
      <c r="C300" s="6" t="inlineStr">
        <is>
          <t>MATERIAL VARIO</t>
        </is>
      </c>
      <c r="D300" s="6" t="inlineStr">
        <is>
          <t>FERRELDA SL</t>
        </is>
      </c>
      <c r="E300" s="4" t="n">
        <v>44.67</v>
      </c>
      <c r="F300" s="6" t="n"/>
    </row>
    <row r="301">
      <c r="A301" s="6" t="inlineStr">
        <is>
          <t>2600636</t>
        </is>
      </c>
      <c r="B301" s="6" t="inlineStr">
        <is>
          <t>24/02/2026</t>
        </is>
      </c>
      <c r="C301" s="6" t="inlineStr">
        <is>
          <t>TALADRO ATORNILLADOR</t>
        </is>
      </c>
      <c r="D301" s="6" t="inlineStr">
        <is>
          <t>FERRELDA SL</t>
        </is>
      </c>
      <c r="E301" s="4" t="n">
        <v>57.85</v>
      </c>
      <c r="F301" s="6" t="n"/>
    </row>
    <row r="302">
      <c r="A302" s="6" t="inlineStr">
        <is>
          <t>26FP000292</t>
        </is>
      </c>
      <c r="B302" s="6" t="inlineStr">
        <is>
          <t>16/02/2026</t>
        </is>
      </c>
      <c r="C302" s="6" t="inlineStr">
        <is>
          <t>REPOSTAJE</t>
        </is>
      </c>
      <c r="D302" s="6" t="inlineStr">
        <is>
          <t>E.S. PINOSO S.L.</t>
        </is>
      </c>
      <c r="E302" s="4" t="n">
        <v>107.46</v>
      </c>
      <c r="F302" s="6" t="n"/>
    </row>
    <row r="303">
      <c r="A303" s="6" t="inlineStr">
        <is>
          <t>FSIM 1 2026/001807</t>
        </is>
      </c>
      <c r="B303" s="6" t="inlineStr">
        <is>
          <t>21/01/2026</t>
        </is>
      </c>
      <c r="C303" s="6" t="inlineStr">
        <is>
          <t>DISCO DE CORTE</t>
        </is>
      </c>
      <c r="D303" s="6" t="inlineStr">
        <is>
          <t>FERRETERIA-VISTA ALEGRE SL</t>
        </is>
      </c>
      <c r="E303" s="4" t="n">
        <v>8.26</v>
      </c>
      <c r="F303" s="6" t="n"/>
    </row>
    <row r="304">
      <c r="A304" s="6" t="inlineStr">
        <is>
          <t>#F260035256</t>
        </is>
      </c>
      <c r="B304" s="6" t="inlineStr">
        <is>
          <t>21/01/2026</t>
        </is>
      </c>
      <c r="C304" s="6" t="inlineStr">
        <is>
          <t>HOLDED ENERO</t>
        </is>
      </c>
      <c r="D304" s="6" t="inlineStr">
        <is>
          <t>HOLDED TECHNOLOGIES SL.</t>
        </is>
      </c>
      <c r="E304" s="4" t="n">
        <v>59</v>
      </c>
      <c r="F304" s="6" t="n"/>
    </row>
    <row r="305">
      <c r="A305" s="8" t="n"/>
      <c r="B305" s="8" t="n"/>
      <c r="C305" s="8" t="inlineStr">
        <is>
          <t>TOTAL GASTOS GENERALES</t>
        </is>
      </c>
      <c r="D305" s="8" t="n"/>
      <c r="E305" s="9">
        <f>SUM(E4:E304)</f>
        <v/>
      </c>
      <c r="F305" s="8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2" customWidth="1" min="3" max="3"/>
    <col width="30" customWidth="1" min="4" max="4"/>
    <col width="18" customWidth="1" min="5" max="5"/>
    <col width="18" customWidth="1" min="6" max="6"/>
  </cols>
  <sheetData>
    <row r="1">
      <c r="A1" s="1" t="inlineStr">
        <is>
          <t>GASTOS DE VEHICULOS (11 facturas)</t>
        </is>
      </c>
    </row>
    <row r="3">
      <c r="A3" s="5" t="inlineStr">
        <is>
          <t>Codigo</t>
        </is>
      </c>
      <c r="B3" s="5" t="inlineStr">
        <is>
          <t>Fecha</t>
        </is>
      </c>
      <c r="C3" s="5" t="inlineStr">
        <is>
          <t>Titulo/Concepto</t>
        </is>
      </c>
      <c r="D3" s="5" t="inlineStr">
        <is>
          <t>Proveedor</t>
        </is>
      </c>
      <c r="E3" s="5" t="inlineStr">
        <is>
          <t>Importe (EUR)</t>
        </is>
      </c>
      <c r="F3" s="5" t="inlineStr">
        <is>
          <t>Observaciones</t>
        </is>
      </c>
    </row>
    <row r="4">
      <c r="A4" s="6" t="inlineStr">
        <is>
          <t>303</t>
        </is>
      </c>
      <c r="B4" s="6" t="inlineStr">
        <is>
          <t>25/09/2026</t>
        </is>
      </c>
      <c r="C4" s="6" t="inlineStr">
        <is>
          <t>REPARACION OPEL COMBO</t>
        </is>
      </c>
      <c r="D4" s="6" t="inlineStr">
        <is>
          <t>AMADOR ALBERT CASCALES Y JOSE FRANCISCO ALBERTO CASCALES TALLERES ALBERT S.C.</t>
        </is>
      </c>
      <c r="E4" s="4" t="n">
        <v>436.18</v>
      </c>
      <c r="F4" s="6" t="n"/>
    </row>
    <row r="5">
      <c r="A5" s="6" t="inlineStr">
        <is>
          <t>2250</t>
        </is>
      </c>
      <c r="B5" s="6" t="inlineStr">
        <is>
          <t>30/09/2026</t>
        </is>
      </c>
      <c r="C5" s="6" t="inlineStr">
        <is>
          <t>REPARACIÓN SCENIC</t>
        </is>
      </c>
      <c r="D5" s="6" t="inlineStr">
        <is>
          <t>AUTOCENTRO JIMENEZ ELDA SL</t>
        </is>
      </c>
      <c r="E5" s="4" t="n">
        <v>282.36</v>
      </c>
      <c r="F5" s="6" t="n"/>
    </row>
    <row r="6">
      <c r="A6" s="6" t="inlineStr">
        <is>
          <t>1613/FA</t>
        </is>
      </c>
      <c r="B6" s="6" t="inlineStr">
        <is>
          <t>07/07/2026</t>
        </is>
      </c>
      <c r="C6" s="6" t="inlineStr">
        <is>
          <t>OPEL COMBO - CAMBIO RUEDAS</t>
        </is>
      </c>
      <c r="D6" s="6" t="inlineStr">
        <is>
          <t>AUTOCENTRO JIMENEZ ELDA SL</t>
        </is>
      </c>
      <c r="E6" s="4" t="n">
        <v>552.88</v>
      </c>
      <c r="F6" s="6" t="n"/>
    </row>
    <row r="7">
      <c r="A7" s="6" t="inlineStr">
        <is>
          <t>COMPRA RENAULT SCENIC</t>
        </is>
      </c>
      <c r="B7" s="6" t="inlineStr">
        <is>
          <t>27/04/2026</t>
        </is>
      </c>
      <c r="C7" s="6" t="inlineStr">
        <is>
          <t>COMPRA RENAULT SCENIC</t>
        </is>
      </c>
      <c r="D7" s="6" t="inlineStr"/>
      <c r="E7" s="4" t="n">
        <v>1000</v>
      </c>
      <c r="F7" s="6" t="n"/>
    </row>
    <row r="8">
      <c r="A8" s="6" t="inlineStr">
        <is>
          <t>115</t>
        </is>
      </c>
      <c r="B8" s="6" t="inlineStr">
        <is>
          <t>17/04/2026</t>
        </is>
      </c>
      <c r="C8" s="6" t="inlineStr">
        <is>
          <t>REPARACIÓN COCHE</t>
        </is>
      </c>
      <c r="D8" s="6" t="inlineStr">
        <is>
          <t>AMADOR ALBERT CASCALES Y JOSE FRANCISCO ALBERTO CASCALES TALLERES ALBERT S.C.</t>
        </is>
      </c>
      <c r="E8" s="4" t="n">
        <v>235.24</v>
      </c>
      <c r="F8" s="6" t="n"/>
    </row>
    <row r="9">
      <c r="A9" s="6" t="inlineStr">
        <is>
          <t>FA 821</t>
        </is>
      </c>
      <c r="B9" s="6" t="inlineStr">
        <is>
          <t>31/03/2026</t>
        </is>
      </c>
      <c r="C9" s="6" t="inlineStr">
        <is>
          <t>PRE ITV CITROEN C4</t>
        </is>
      </c>
      <c r="D9" s="6" t="inlineStr">
        <is>
          <t>AUTOCENTRO JIMENEZ ELDA SL</t>
        </is>
      </c>
      <c r="E9" s="4" t="n">
        <v>85</v>
      </c>
      <c r="F9" s="6" t="n"/>
    </row>
    <row r="10">
      <c r="A10" s="6" t="inlineStr">
        <is>
          <t>100</t>
        </is>
      </c>
      <c r="B10" s="6" t="inlineStr">
        <is>
          <t>27/03/2026</t>
        </is>
      </c>
      <c r="C10" s="6" t="inlineStr">
        <is>
          <t>REPARACIÓN CITROEN C4</t>
        </is>
      </c>
      <c r="D10" s="6" t="inlineStr">
        <is>
          <t>AMADOR ALBERT CASCALES Y JOSE FRANCISCO ALBERTO CASCALES TALLERES ALBERT S.C.</t>
        </is>
      </c>
      <c r="E10" s="4" t="n">
        <v>373.71</v>
      </c>
      <c r="F10" s="6" t="n"/>
    </row>
    <row r="11">
      <c r="A11" s="6" t="inlineStr">
        <is>
          <t>FR26-0038</t>
        </is>
      </c>
      <c r="B11" s="6" t="inlineStr">
        <is>
          <t>26/03/2026</t>
        </is>
      </c>
      <c r="C11" s="6" t="inlineStr">
        <is>
          <t>OPEL MOVANO</t>
        </is>
      </c>
      <c r="D11" s="6" t="inlineStr">
        <is>
          <t>Juan Abellán Lozano</t>
        </is>
      </c>
      <c r="E11" s="4" t="n">
        <v>394.64</v>
      </c>
      <c r="F11" s="6" t="n"/>
    </row>
    <row r="12">
      <c r="A12" s="6" t="inlineStr">
        <is>
          <t>595/FA</t>
        </is>
      </c>
      <c r="B12" s="6" t="inlineStr">
        <is>
          <t>10/03/2026</t>
        </is>
      </c>
      <c r="C12" s="6" t="inlineStr">
        <is>
          <t>OPEL MOVANO</t>
        </is>
      </c>
      <c r="D12" s="6" t="inlineStr">
        <is>
          <t>AUTOCENTRO JIMENEZ ELDA SL</t>
        </is>
      </c>
      <c r="E12" s="4" t="n">
        <v>296.87</v>
      </c>
      <c r="F12" s="6" t="n"/>
    </row>
    <row r="13">
      <c r="A13" s="6" t="inlineStr">
        <is>
          <t>546/FA</t>
        </is>
      </c>
      <c r="B13" s="6" t="inlineStr">
        <is>
          <t>02/03/2026</t>
        </is>
      </c>
      <c r="C13" s="6" t="inlineStr">
        <is>
          <t>OPEL MOVANO</t>
        </is>
      </c>
      <c r="D13" s="6" t="inlineStr">
        <is>
          <t>AUTOCENTRO JIMENEZ ELDA SL</t>
        </is>
      </c>
      <c r="E13" s="4" t="n">
        <v>543.48</v>
      </c>
      <c r="F13" s="6" t="n"/>
    </row>
    <row r="14">
      <c r="A14" s="6" t="inlineStr">
        <is>
          <t>552/FA</t>
        </is>
      </c>
      <c r="B14" s="6" t="inlineStr">
        <is>
          <t>03/03/2026</t>
        </is>
      </c>
      <c r="C14" s="6" t="inlineStr">
        <is>
          <t>OPEL COMBO</t>
        </is>
      </c>
      <c r="D14" s="6" t="inlineStr">
        <is>
          <t>AUTOCENTRO JIMENEZ ELDA SL</t>
        </is>
      </c>
      <c r="E14" s="4" t="n">
        <v>221.85</v>
      </c>
      <c r="F14" s="6" t="n"/>
    </row>
    <row r="15">
      <c r="A15" s="8" t="n"/>
      <c r="B15" s="8" t="n"/>
      <c r="C15" s="8" t="inlineStr">
        <is>
          <t>TOTAL VEHICULOS</t>
        </is>
      </c>
      <c r="D15" s="8" t="n"/>
      <c r="E15" s="9">
        <f>SUM(E4:E14)</f>
        <v/>
      </c>
      <c r="F15" s="8" t="n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CC71"/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6" customWidth="1" min="4" max="4"/>
    <col width="10" customWidth="1" min="5" max="5"/>
    <col width="14" customWidth="1" min="6" max="6"/>
  </cols>
  <sheetData>
    <row r="1">
      <c r="A1" s="1" t="inlineStr">
        <is>
          <t>GASTOS DE MANO DE OBRA</t>
        </is>
      </c>
    </row>
    <row r="2">
      <c r="A2" s="2" t="inlineStr">
        <is>
          <t>Tarifa: 17,00 EUR/hora (leida del xlsx de mano de obra)</t>
        </is>
      </c>
    </row>
    <row r="4">
      <c r="A4" s="5" t="inlineStr">
        <is>
          <t>Proyecto</t>
        </is>
      </c>
      <c r="B4" s="5" t="inlineStr">
        <is>
          <t>Horas</t>
        </is>
      </c>
      <c r="C4" s="5" t="inlineStr">
        <is>
          <t>Tarifa (EUR/h)</t>
        </is>
      </c>
      <c r="D4" s="5" t="inlineStr">
        <is>
          <t>Total (EUR)</t>
        </is>
      </c>
      <c r="E4" s="5" t="inlineStr">
        <is>
          <t>Ano</t>
        </is>
      </c>
      <c r="F4" s="5" t="inlineStr">
        <is>
          <t>% del Total</t>
        </is>
      </c>
    </row>
    <row r="5">
      <c r="A5" s="6" t="inlineStr">
        <is>
          <t>26002 - GARAJE MURCIA</t>
        </is>
      </c>
      <c r="B5" s="6" t="n">
        <v>100</v>
      </c>
      <c r="C5" s="4" t="n">
        <v>17</v>
      </c>
      <c r="D5" s="4">
        <f>B5*C5</f>
        <v/>
      </c>
      <c r="E5" s="6" t="n">
        <v>2026</v>
      </c>
      <c r="F5" s="6">
        <f>D5/D32</f>
        <v/>
      </c>
    </row>
    <row r="6">
      <c r="A6" s="6" t="inlineStr">
        <is>
          <t>26001 - SANTA ROSA</t>
        </is>
      </c>
      <c r="B6" s="6" t="n">
        <v>437</v>
      </c>
      <c r="C6" s="4" t="n">
        <v>17</v>
      </c>
      <c r="D6" s="4">
        <f>B6*C6</f>
        <v/>
      </c>
      <c r="E6" s="6" t="n">
        <v>2026</v>
      </c>
      <c r="F6" s="6">
        <f>D6/D32</f>
        <v/>
      </c>
    </row>
    <row r="7">
      <c r="A7" s="6" t="inlineStr">
        <is>
          <t>24017 - CEMENTERIO, MURCIA</t>
        </is>
      </c>
      <c r="B7" s="6" t="n">
        <v>440</v>
      </c>
      <c r="C7" s="4" t="n">
        <v>17</v>
      </c>
      <c r="D7" s="4">
        <f>B7*C7</f>
        <v/>
      </c>
      <c r="E7" s="6" t="n">
        <v>2026</v>
      </c>
      <c r="F7" s="6">
        <f>D7/D32</f>
        <v/>
      </c>
    </row>
    <row r="8">
      <c r="A8" s="6" t="inlineStr">
        <is>
          <t>24002 - FORMENTERA 14, JUANMA</t>
        </is>
      </c>
      <c r="B8" s="6" t="n">
        <v>643</v>
      </c>
      <c r="C8" s="4" t="n">
        <v>17</v>
      </c>
      <c r="D8" s="4">
        <f>B8*C8</f>
        <v/>
      </c>
      <c r="E8" s="6" t="n">
        <v>2026</v>
      </c>
      <c r="F8" s="6">
        <f>D8/D32</f>
        <v/>
      </c>
    </row>
    <row r="9">
      <c r="A9" s="6" t="inlineStr">
        <is>
          <t>24009 - FORMENTERA 12, JOAQUIN</t>
        </is>
      </c>
      <c r="B9" s="6" t="n">
        <v>4119</v>
      </c>
      <c r="C9" s="4" t="n">
        <v>17</v>
      </c>
      <c r="D9" s="4">
        <f>B9*C9</f>
        <v/>
      </c>
      <c r="E9" s="6" t="n">
        <v>2026</v>
      </c>
      <c r="F9" s="6">
        <f>D9/D32</f>
        <v/>
      </c>
    </row>
    <row r="10">
      <c r="A10" s="6" t="inlineStr">
        <is>
          <t>24015 - LA PARTE DIFICIL, ALICANTE</t>
        </is>
      </c>
      <c r="B10" s="6" t="n">
        <v>750</v>
      </c>
      <c r="C10" s="4" t="n">
        <v>17</v>
      </c>
      <c r="D10" s="4">
        <f>B10*C10</f>
        <v/>
      </c>
      <c r="E10" s="6" t="n">
        <v>2026</v>
      </c>
      <c r="F10" s="6">
        <f>D10/D32</f>
        <v/>
      </c>
    </row>
    <row r="11">
      <c r="A11" s="6" t="inlineStr">
        <is>
          <t>24014 - LA PARTE DIFICIL, MURCIA</t>
        </is>
      </c>
      <c r="B11" s="6" t="n">
        <v>51</v>
      </c>
      <c r="C11" s="4" t="n">
        <v>17</v>
      </c>
      <c r="D11" s="4">
        <f>B11*C11</f>
        <v/>
      </c>
      <c r="E11" s="6" t="n">
        <v>2026</v>
      </c>
      <c r="F11" s="6">
        <f>D11/D32</f>
        <v/>
      </c>
    </row>
    <row r="12">
      <c r="A12" s="6" t="inlineStr">
        <is>
          <t>26005 - A-13</t>
        </is>
      </c>
      <c r="B12" s="6" t="n">
        <v>592</v>
      </c>
      <c r="C12" s="4" t="n">
        <v>17</v>
      </c>
      <c r="D12" s="4">
        <f>B12*C12</f>
        <v/>
      </c>
      <c r="E12" s="6" t="n">
        <v>2026</v>
      </c>
      <c r="F12" s="6">
        <f>D12/D32</f>
        <v/>
      </c>
    </row>
    <row r="13">
      <c r="A13" s="6" t="inlineStr">
        <is>
          <t>24010 - LA ALBERCA</t>
        </is>
      </c>
      <c r="B13" s="6" t="n">
        <v>1576</v>
      </c>
      <c r="C13" s="4" t="n">
        <v>17</v>
      </c>
      <c r="D13" s="4">
        <f>B13*C13</f>
        <v/>
      </c>
      <c r="E13" s="6" t="n">
        <v>2026</v>
      </c>
      <c r="F13" s="6">
        <f>D13/D32</f>
        <v/>
      </c>
    </row>
    <row r="14">
      <c r="A14" s="6" t="inlineStr">
        <is>
          <t>26003 - BARINAS</t>
        </is>
      </c>
      <c r="B14" s="6" t="n">
        <v>537</v>
      </c>
      <c r="C14" s="4" t="n">
        <v>17</v>
      </c>
      <c r="D14" s="4">
        <f>B14*C14</f>
        <v/>
      </c>
      <c r="E14" s="6" t="n">
        <v>2026</v>
      </c>
      <c r="F14" s="6">
        <f>D14/D32</f>
        <v/>
      </c>
    </row>
    <row r="15">
      <c r="A15" s="6" t="inlineStr">
        <is>
          <t>24016 - PLAZA CIRCULAR</t>
        </is>
      </c>
      <c r="B15" s="6" t="n">
        <v>3233</v>
      </c>
      <c r="C15" s="4" t="n">
        <v>17</v>
      </c>
      <c r="D15" s="4">
        <f>B15*C15</f>
        <v/>
      </c>
      <c r="E15" s="6" t="n">
        <v>2026</v>
      </c>
      <c r="F15" s="6">
        <f>D15/D32</f>
        <v/>
      </c>
    </row>
    <row r="16">
      <c r="A16" s="6" t="inlineStr">
        <is>
          <t>26006 - OBRA PADRE TRINI</t>
        </is>
      </c>
      <c r="B16" s="6" t="n">
        <v>52</v>
      </c>
      <c r="C16" s="4" t="n">
        <v>17</v>
      </c>
      <c r="D16" s="4">
        <f>B16*C16</f>
        <v/>
      </c>
      <c r="E16" s="6" t="n">
        <v>2026</v>
      </c>
      <c r="F16" s="6">
        <f>D16/D32</f>
        <v/>
      </c>
    </row>
    <row r="17">
      <c r="A17" s="6" t="inlineStr">
        <is>
          <t>26004 - OBRA PISO IBI</t>
        </is>
      </c>
      <c r="B17" s="6" t="n">
        <v>117</v>
      </c>
      <c r="C17" s="4" t="n">
        <v>17</v>
      </c>
      <c r="D17" s="4">
        <f>B17*C17</f>
        <v/>
      </c>
      <c r="E17" s="6" t="n">
        <v>2026</v>
      </c>
      <c r="F17" s="6">
        <f>D17/D32</f>
        <v/>
      </c>
    </row>
    <row r="18">
      <c r="A18" s="6" t="inlineStr">
        <is>
          <t>24018 - OBRA LUC2</t>
        </is>
      </c>
      <c r="B18" s="6" t="n">
        <v>865</v>
      </c>
      <c r="C18" s="4" t="n">
        <v>17</v>
      </c>
      <c r="D18" s="4">
        <f>B18*C18</f>
        <v/>
      </c>
      <c r="E18" s="6" t="n">
        <v>2026</v>
      </c>
      <c r="F18" s="6">
        <f>D18/D32</f>
        <v/>
      </c>
    </row>
    <row r="19">
      <c r="A19" s="6" t="inlineStr">
        <is>
          <t>26011 - CASTILLO DE ELDA</t>
        </is>
      </c>
      <c r="B19" s="6" t="n">
        <v>894</v>
      </c>
      <c r="C19" s="4" t="n">
        <v>17</v>
      </c>
      <c r="D19" s="4">
        <f>B19*C19</f>
        <v/>
      </c>
      <c r="E19" s="6" t="n">
        <v>2026</v>
      </c>
      <c r="F19" s="6">
        <f>D19/D32</f>
        <v/>
      </c>
    </row>
    <row r="20">
      <c r="A20" s="6" t="inlineStr">
        <is>
          <t>26009 - OBRA CALLE CARTAGENA, MURCIA</t>
        </is>
      </c>
      <c r="B20" s="6" t="n">
        <v>1482</v>
      </c>
      <c r="C20" s="4" t="n">
        <v>17</v>
      </c>
      <c r="D20" s="4">
        <f>B20*C20</f>
        <v/>
      </c>
      <c r="E20" s="6" t="n">
        <v>2026</v>
      </c>
      <c r="F20" s="6">
        <f>D20/D32</f>
        <v/>
      </c>
    </row>
    <row r="21">
      <c r="A21" s="6" t="inlineStr">
        <is>
          <t>26012 - CBS</t>
        </is>
      </c>
      <c r="B21" s="6" t="n">
        <v>304</v>
      </c>
      <c r="C21" s="4" t="n">
        <v>17</v>
      </c>
      <c r="D21" s="4">
        <f>B21*C21</f>
        <v/>
      </c>
      <c r="E21" s="6" t="n">
        <v>2026</v>
      </c>
      <c r="F21" s="6">
        <f>D21/D32</f>
        <v/>
      </c>
    </row>
    <row r="22">
      <c r="A22" s="6" t="inlineStr">
        <is>
          <t>26020 - OBRA CARLA, PINOSO</t>
        </is>
      </c>
      <c r="B22" s="6" t="n">
        <v>569</v>
      </c>
      <c r="C22" s="4" t="n">
        <v>17</v>
      </c>
      <c r="D22" s="4">
        <f>B22*C22</f>
        <v/>
      </c>
      <c r="E22" s="6" t="n">
        <v>2026</v>
      </c>
      <c r="F22" s="6">
        <f>D22/D32</f>
        <v/>
      </c>
    </row>
    <row r="23">
      <c r="A23" s="6" t="inlineStr">
        <is>
          <t>26017 - OBRA MADRE MARIA PEREAMAR</t>
        </is>
      </c>
      <c r="B23" s="6" t="n">
        <v>416</v>
      </c>
      <c r="C23" s="4" t="n">
        <v>17</v>
      </c>
      <c r="D23" s="4">
        <f>B23*C23</f>
        <v/>
      </c>
      <c r="E23" s="6" t="n">
        <v>2026</v>
      </c>
      <c r="F23" s="6">
        <f>D23/D32</f>
        <v/>
      </c>
    </row>
    <row r="24">
      <c r="A24" s="6" t="inlineStr">
        <is>
          <t>26007 - OBRA HELENA Y JACOBO</t>
        </is>
      </c>
      <c r="B24" s="6" t="n">
        <v>595</v>
      </c>
      <c r="C24" s="4" t="n">
        <v>17</v>
      </c>
      <c r="D24" s="4">
        <f>B24*C24</f>
        <v/>
      </c>
      <c r="E24" s="6" t="n">
        <v>2026</v>
      </c>
      <c r="F24" s="6">
        <f>D24/D32</f>
        <v/>
      </c>
    </row>
    <row r="25">
      <c r="A25" s="6" t="inlineStr">
        <is>
          <t>26008 - OBRA ALBERTO Y EVA - C/ RIO SEGURA, 4. SAN VICENTE DEL RASPEIG</t>
        </is>
      </c>
      <c r="B25" s="6" t="n">
        <v>729</v>
      </c>
      <c r="C25" s="4" t="n">
        <v>17</v>
      </c>
      <c r="D25" s="4">
        <f>B25*C25</f>
        <v/>
      </c>
      <c r="E25" s="6" t="n">
        <v>2026</v>
      </c>
      <c r="F25" s="6">
        <f>D25/D32</f>
        <v/>
      </c>
    </row>
    <row r="26">
      <c r="A26" s="6" t="inlineStr">
        <is>
          <t>24008 - OBRA C/HUERTO CAPUCHINOS, MURCIA (COLEGIO MAYOR)</t>
        </is>
      </c>
      <c r="B26" s="6" t="n">
        <v>24</v>
      </c>
      <c r="C26" s="4" t="n">
        <v>17</v>
      </c>
      <c r="D26" s="4">
        <f>B26*C26</f>
        <v/>
      </c>
      <c r="E26" s="6" t="n">
        <v>2026</v>
      </c>
      <c r="F26" s="6">
        <f>D26/D32</f>
        <v/>
      </c>
    </row>
    <row r="27">
      <c r="A27" s="6" t="inlineStr">
        <is>
          <t>26021 - OBRA CRISTINA RESTAURANTE, ALICANTE</t>
        </is>
      </c>
      <c r="B27" s="6" t="n">
        <v>18</v>
      </c>
      <c r="C27" s="4" t="n">
        <v>17</v>
      </c>
      <c r="D27" s="4">
        <f>B27*C27</f>
        <v/>
      </c>
      <c r="E27" s="6" t="n">
        <v>2026</v>
      </c>
      <c r="F27" s="6">
        <f>D27/D32</f>
        <v/>
      </c>
    </row>
    <row r="28">
      <c r="A28" s="6" t="inlineStr">
        <is>
          <t>2100 - OBRA MURO VECINO CAMPO</t>
        </is>
      </c>
      <c r="B28" s="6" t="n">
        <v>0</v>
      </c>
      <c r="C28" s="4" t="n">
        <v>0</v>
      </c>
      <c r="D28" s="4" t="n">
        <v>8976</v>
      </c>
      <c r="E28" s="6" t="n">
        <v>2026</v>
      </c>
      <c r="F28" s="6">
        <f>D28/D32</f>
        <v/>
      </c>
    </row>
    <row r="29">
      <c r="A29" s="6" t="inlineStr">
        <is>
          <t>2600 - OBRA MURO CAMPO ARANTXA</t>
        </is>
      </c>
      <c r="B29" s="6" t="n">
        <v>0</v>
      </c>
      <c r="C29" s="4" t="n">
        <v>0</v>
      </c>
      <c r="D29" s="4" t="n">
        <v>16201</v>
      </c>
      <c r="E29" s="6" t="n">
        <v>2026</v>
      </c>
      <c r="F29" s="6">
        <f>D29/D32</f>
        <v/>
      </c>
    </row>
    <row r="30">
      <c r="A30" s="6" t="inlineStr">
        <is>
          <t>26022 - OBRA COLEGIO MONOVAR</t>
        </is>
      </c>
      <c r="B30" s="6" t="n">
        <v>18</v>
      </c>
      <c r="C30" s="4" t="n">
        <v>17</v>
      </c>
      <c r="D30" s="4">
        <f>B30*C30</f>
        <v/>
      </c>
      <c r="E30" s="6" t="n">
        <v>2026</v>
      </c>
      <c r="F30" s="6">
        <f>D30/D32</f>
        <v/>
      </c>
    </row>
    <row r="31">
      <c r="A31" s="6" t="inlineStr">
        <is>
          <t>26013 - ARREGLO PAVIMENTOS COMUNIDAD PROPIETARIOS -CALLE SOROLLA, 13. 03560. EL CAMPELLO</t>
        </is>
      </c>
      <c r="B31" s="6" t="n">
        <v>38</v>
      </c>
      <c r="C31" s="4" t="n">
        <v>17</v>
      </c>
      <c r="D31" s="4">
        <f>B31*C31</f>
        <v/>
      </c>
      <c r="E31" s="6" t="n">
        <v>2026</v>
      </c>
      <c r="F31" s="6">
        <f>D31/D32</f>
        <v/>
      </c>
    </row>
    <row r="32">
      <c r="A32" s="8" t="inlineStr">
        <is>
          <t>TOTAL MANO DE OBRA</t>
        </is>
      </c>
      <c r="B32" s="8">
        <f>SUM(B5:B31)</f>
        <v/>
      </c>
      <c r="C32" s="9" t="n"/>
      <c r="D32" s="9">
        <f>SUM(D5:D31)</f>
        <v/>
      </c>
      <c r="E32" s="8" t="n"/>
      <c r="F32" s="8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B59B6"/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2" customWidth="1" min="3" max="3"/>
  </cols>
  <sheetData>
    <row r="1">
      <c r="A1" s="1" t="inlineStr">
        <is>
          <t>GASTOS DIRECTOS POR PROYECTO (del CSV de Holded)</t>
        </is>
      </c>
    </row>
    <row r="3">
      <c r="A3" s="5" t="inlineStr">
        <is>
          <t>Proyecto</t>
        </is>
      </c>
      <c r="B3" s="5" t="inlineStr">
        <is>
          <t>Importe (EUR)</t>
        </is>
      </c>
      <c r="C3" s="5" t="inlineStr">
        <is>
          <t>Observaciones</t>
        </is>
      </c>
    </row>
    <row r="4">
      <c r="A4" s="6" t="inlineStr">
        <is>
          <t>24016 - PLAZA CIRCULAR</t>
        </is>
      </c>
      <c r="B4" s="4" t="n">
        <v>191714.4299999999</v>
      </c>
      <c r="C4" s="6" t="n"/>
    </row>
    <row r="5">
      <c r="A5" s="6" t="inlineStr">
        <is>
          <t>24009 - FORMENTERA 12, JOAQUIN</t>
        </is>
      </c>
      <c r="B5" s="4" t="n">
        <v>184972.02</v>
      </c>
      <c r="C5" s="6" t="n"/>
    </row>
    <row r="6">
      <c r="A6" s="6" t="inlineStr">
        <is>
          <t>24002 - FORMENTERA 14, JUANMA</t>
        </is>
      </c>
      <c r="B6" s="4" t="n">
        <v>71877.93999999999</v>
      </c>
      <c r="C6" s="6" t="n"/>
    </row>
    <row r="7">
      <c r="A7" s="6" t="inlineStr">
        <is>
          <t>24010 - LA ALBERCA</t>
        </is>
      </c>
      <c r="B7" s="4" t="n">
        <v>46477.59</v>
      </c>
      <c r="C7" s="6" t="n"/>
    </row>
    <row r="8">
      <c r="A8" s="6" t="inlineStr">
        <is>
          <t>24018 - OBRA LUC2</t>
        </is>
      </c>
      <c r="B8" s="4" t="n">
        <v>45321.16000000001</v>
      </c>
      <c r="C8" s="6" t="n"/>
    </row>
    <row r="9">
      <c r="A9" s="6" t="inlineStr">
        <is>
          <t>26008 - OBRA ALBERTO Y EVA - C/ RIO SEGURA, 4. SAN VICENTE DEL RASPEIG</t>
        </is>
      </c>
      <c r="B9" s="4" t="n">
        <v>21654.63</v>
      </c>
      <c r="C9" s="6" t="n"/>
    </row>
    <row r="10">
      <c r="A10" s="6" t="inlineStr">
        <is>
          <t>26007 - OBRA HELENA Y JACOBO</t>
        </is>
      </c>
      <c r="B10" s="4" t="n">
        <v>21541.34</v>
      </c>
      <c r="C10" s="6" t="n"/>
    </row>
    <row r="11">
      <c r="A11" s="6" t="inlineStr">
        <is>
          <t>26011 - CASTILLO DE ELDA</t>
        </is>
      </c>
      <c r="B11" s="4" t="n">
        <v>16180.37</v>
      </c>
      <c r="C11" s="6" t="n"/>
    </row>
    <row r="12">
      <c r="A12" s="6" t="inlineStr">
        <is>
          <t>2100 - OBRA MURO VECINO CAMPO</t>
        </is>
      </c>
      <c r="B12" s="4" t="n">
        <v>15376.72</v>
      </c>
      <c r="C12" s="6" t="n"/>
    </row>
    <row r="13">
      <c r="A13" s="6" t="inlineStr">
        <is>
          <t>26003 - BARINAS</t>
        </is>
      </c>
      <c r="B13" s="4" t="n">
        <v>13889.35</v>
      </c>
      <c r="C13" s="6" t="n"/>
    </row>
    <row r="14">
      <c r="A14" s="6" t="inlineStr">
        <is>
          <t>26009 - OBRA CALLE CARTAGENA, MURCIA</t>
        </is>
      </c>
      <c r="B14" s="4" t="n">
        <v>11806.55</v>
      </c>
      <c r="C14" s="6" t="n"/>
    </row>
    <row r="15">
      <c r="A15" s="6" t="inlineStr">
        <is>
          <t>26001 - SANTA ROSA</t>
        </is>
      </c>
      <c r="B15" s="4" t="n">
        <v>10140.75</v>
      </c>
      <c r="C15" s="6" t="n"/>
    </row>
    <row r="16">
      <c r="A16" s="6" t="inlineStr">
        <is>
          <t>24017 - CEMENTERIO, MURCIA</t>
        </is>
      </c>
      <c r="B16" s="4" t="n">
        <v>7585.7</v>
      </c>
      <c r="C16" s="6" t="n"/>
    </row>
    <row r="17">
      <c r="A17" s="6" t="inlineStr">
        <is>
          <t>24015 - LA PARTE DIFICIL, ALICANTE</t>
        </is>
      </c>
      <c r="B17" s="4" t="n">
        <v>7190.210000000001</v>
      </c>
      <c r="C17" s="6" t="n"/>
    </row>
    <row r="18">
      <c r="A18" s="6" t="inlineStr">
        <is>
          <t>26020 - OBRA CARLA, PINOSO</t>
        </is>
      </c>
      <c r="B18" s="4" t="n">
        <v>5251.8</v>
      </c>
      <c r="C18" s="6" t="n"/>
    </row>
    <row r="19">
      <c r="A19" s="6" t="inlineStr">
        <is>
          <t>26017 - OBRA MADRE MARIA PEREAMAR</t>
        </is>
      </c>
      <c r="B19" s="4" t="n">
        <v>4468.63</v>
      </c>
      <c r="C19" s="6" t="n"/>
    </row>
    <row r="20">
      <c r="A20" s="6" t="inlineStr">
        <is>
          <t>2600 - OBRA MURO CAMPO ARANTXA</t>
        </is>
      </c>
      <c r="B20" s="4" t="n">
        <v>4230.33</v>
      </c>
      <c r="C20" s="6" t="n"/>
    </row>
    <row r="21">
      <c r="A21" s="6" t="inlineStr">
        <is>
          <t>26002 - GARAJE MURCIA</t>
        </is>
      </c>
      <c r="B21" s="4" t="n">
        <v>3350.48</v>
      </c>
      <c r="C21" s="6" t="n"/>
    </row>
    <row r="22">
      <c r="A22" s="6" t="inlineStr">
        <is>
          <t>24001 - OBRA C/IBIZA, ASPE (CASA CABO)</t>
        </is>
      </c>
      <c r="B22" s="4" t="n">
        <v>3248.2</v>
      </c>
      <c r="C22" s="6" t="n"/>
    </row>
    <row r="23">
      <c r="A23" s="6" t="inlineStr">
        <is>
          <t>2400 - ARREGLOS OBRAS ARAQUE Y MAQUEDA</t>
        </is>
      </c>
      <c r="B23" s="4" t="n">
        <v>3129</v>
      </c>
      <c r="C23" s="6" t="n"/>
    </row>
    <row r="24">
      <c r="A24" s="6" t="inlineStr">
        <is>
          <t>26022 - OBRA COLEGIO MONOVAR</t>
        </is>
      </c>
      <c r="B24" s="4" t="n">
        <v>852.0999999999999</v>
      </c>
      <c r="C24" s="6" t="n"/>
    </row>
    <row r="25">
      <c r="A25" s="6" t="inlineStr">
        <is>
          <t>26010 - PROYECTO 4 BASCULAS EN SILOS - Paraje de los Rincones S,N - Poligono 3, parcelas 94 y 113 - Algueña (Alicante)</t>
        </is>
      </c>
      <c r="B25" s="4" t="n">
        <v>420</v>
      </c>
      <c r="C25" s="6" t="n"/>
    </row>
    <row r="26">
      <c r="A26" s="6" t="inlineStr">
        <is>
          <t>24014 - LA PARTE DIFICIL, MURCIA</t>
        </is>
      </c>
      <c r="B26" s="4" t="n">
        <v>340</v>
      </c>
      <c r="C26" s="6" t="n"/>
    </row>
    <row r="27">
      <c r="A27" s="6" t="inlineStr">
        <is>
          <t>26006 - OBRA PADRE TRINI</t>
        </is>
      </c>
      <c r="B27" s="4" t="n">
        <v>298.32</v>
      </c>
      <c r="C27" s="6" t="n"/>
    </row>
    <row r="28">
      <c r="A28" s="6" t="inlineStr">
        <is>
          <t>26013 - ARREGLO PAVIMENTOS COMUNIDAD PROPIETARIOS -CALLE SOROLLA, 13. 03560. EL CAMPELLO</t>
        </is>
      </c>
      <c r="B28" s="4" t="n">
        <v>160.84</v>
      </c>
      <c r="C28" s="6" t="n"/>
    </row>
    <row r="29">
      <c r="A29" s="6" t="inlineStr">
        <is>
          <t>24008 - OBRA C/HUERTO CAPUCHINOS, MURCIA (COLEGIO MAYOR)</t>
        </is>
      </c>
      <c r="B29" s="4" t="n">
        <v>67.55</v>
      </c>
      <c r="C29" s="6" t="n"/>
    </row>
    <row r="30">
      <c r="A30" s="8" t="inlineStr">
        <is>
          <t>TOTAL GASTOS DIRECTOS</t>
        </is>
      </c>
      <c r="B30" s="9">
        <f>SUM(B4:B29)</f>
        <v/>
      </c>
      <c r="C30" s="8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G582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4" customWidth="1" min="3" max="3"/>
    <col width="35" customWidth="1" min="4" max="4"/>
    <col width="30" customWidth="1" min="5" max="5"/>
    <col width="14" customWidth="1" min="6" max="6"/>
    <col width="18" customWidth="1" min="7" max="7"/>
  </cols>
  <sheetData>
    <row r="1">
      <c r="A1" s="1" t="inlineStr">
        <is>
          <t>FACTURAS POR OBRA - Todas las facturas directas (578 facturas)</t>
        </is>
      </c>
    </row>
    <row r="2">
      <c r="A2" s="10" t="inlineStr">
        <is>
          <t>Usa los filtros desplegables en la fila 3 para buscar por proyecto, proveedor, etc.</t>
        </is>
      </c>
    </row>
    <row r="3">
      <c r="A3" s="5" t="inlineStr">
        <is>
          <t>Proyecto</t>
        </is>
      </c>
      <c r="B3" s="5" t="inlineStr">
        <is>
          <t>Codigo</t>
        </is>
      </c>
      <c r="C3" s="5" t="inlineStr">
        <is>
          <t>Fecha</t>
        </is>
      </c>
      <c r="D3" s="5" t="inlineStr">
        <is>
          <t>Titulo/Concepto</t>
        </is>
      </c>
      <c r="E3" s="5" t="inlineStr">
        <is>
          <t>Proveedor</t>
        </is>
      </c>
      <c r="F3" s="5" t="inlineStr">
        <is>
          <t>Estado</t>
        </is>
      </c>
      <c r="G3" s="5" t="inlineStr">
        <is>
          <t>Importe (EUR)</t>
        </is>
      </c>
    </row>
    <row r="4">
      <c r="A4" s="6" t="inlineStr">
        <is>
          <t>2100 - OBRA MURO VECINO CAMPO</t>
        </is>
      </c>
      <c r="B4" s="6" t="inlineStr">
        <is>
          <t>26/151</t>
        </is>
      </c>
      <c r="C4" s="6" t="inlineStr">
        <is>
          <t>20/02/2026</t>
        </is>
      </c>
      <c r="D4" s="6" t="inlineStr">
        <is>
          <t>HIERRO MURO VECINO</t>
        </is>
      </c>
      <c r="E4" s="6" t="inlineStr">
        <is>
          <t>FERRALLAS MONFORTE DEL CID SL.</t>
        </is>
      </c>
      <c r="F4" s="6" t="inlineStr">
        <is>
          <t>IMPUTADO</t>
        </is>
      </c>
      <c r="G4" s="4" t="n">
        <v>2651.4</v>
      </c>
    </row>
    <row r="5">
      <c r="A5" s="6" t="inlineStr">
        <is>
          <t>2100 - OBRA MURO VECINO CAMPO</t>
        </is>
      </c>
      <c r="B5" s="6" t="inlineStr">
        <is>
          <t>606659-2</t>
        </is>
      </c>
      <c r="C5" s="6" t="inlineStr">
        <is>
          <t>18/02/2026</t>
        </is>
      </c>
      <c r="D5" s="6" t="inlineStr">
        <is>
          <t>PRESUPUESTO Nº 606659-2</t>
        </is>
      </c>
      <c r="E5" s="6" t="inlineStr">
        <is>
          <t>LEROY MERLIN ESPAÑA SL</t>
        </is>
      </c>
      <c r="F5" s="6" t="inlineStr">
        <is>
          <t>IMPUTADO</t>
        </is>
      </c>
      <c r="G5" s="4" t="n">
        <v>2504.93</v>
      </c>
    </row>
    <row r="6">
      <c r="A6" s="6" t="inlineStr">
        <is>
          <t>2100 - OBRA MURO VECINO CAMPO</t>
        </is>
      </c>
      <c r="B6" s="6" t="inlineStr">
        <is>
          <t>FH2600236</t>
        </is>
      </c>
      <c r="C6" s="6" t="inlineStr">
        <is>
          <t>15/03/2026</t>
        </is>
      </c>
      <c r="D6" s="6" t="inlineStr">
        <is>
          <t>HORMIGON RELLENAR BLOQUES MURO</t>
        </is>
      </c>
      <c r="E6" s="6" t="inlineStr">
        <is>
          <t>ARIDOS Y HORMIGONES CUTILLAS S.L.</t>
        </is>
      </c>
      <c r="F6" s="6" t="inlineStr">
        <is>
          <t>IMPUTADO</t>
        </is>
      </c>
      <c r="G6" s="4" t="n">
        <v>2502</v>
      </c>
    </row>
    <row r="7">
      <c r="A7" s="6" t="inlineStr">
        <is>
          <t>2100 - OBRA MURO VECINO CAMPO</t>
        </is>
      </c>
      <c r="B7" s="6" t="inlineStr">
        <is>
          <t>3475/2026</t>
        </is>
      </c>
      <c r="C7" s="6" t="inlineStr">
        <is>
          <t>08/03/2026</t>
        </is>
      </c>
      <c r="D7" s="6" t="inlineStr">
        <is>
          <t>BOMBA CIMENTACION</t>
        </is>
      </c>
      <c r="E7" s="6" t="inlineStr">
        <is>
          <t>LORENZO ROMERO MORALEDA</t>
        </is>
      </c>
      <c r="F7" s="6" t="inlineStr">
        <is>
          <t>SIN IMPUTAR</t>
        </is>
      </c>
      <c r="G7" s="4" t="n">
        <v>2420</v>
      </c>
    </row>
    <row r="8">
      <c r="A8" s="6" t="inlineStr">
        <is>
          <t>2100 - OBRA MURO VECINO CAMPO</t>
        </is>
      </c>
      <c r="B8" s="6" t="inlineStr">
        <is>
          <t>FH 2600236</t>
        </is>
      </c>
      <c r="C8" s="6" t="inlineStr">
        <is>
          <t>15/03/2026</t>
        </is>
      </c>
      <c r="D8" s="6" t="inlineStr">
        <is>
          <t>HORMIGON CIMENTACION</t>
        </is>
      </c>
      <c r="E8" s="6" t="inlineStr">
        <is>
          <t>ARIDOS Y HORMIGONES CUTILLAS S.L.</t>
        </is>
      </c>
      <c r="F8" s="6" t="inlineStr">
        <is>
          <t>IMPUTADO</t>
        </is>
      </c>
      <c r="G8" s="4" t="n">
        <v>2406</v>
      </c>
    </row>
    <row r="9">
      <c r="A9" s="6" t="inlineStr">
        <is>
          <t>2100 - OBRA MURO VECINO CAMPO</t>
        </is>
      </c>
      <c r="B9" s="6" t="inlineStr">
        <is>
          <t>AS0260189</t>
        </is>
      </c>
      <c r="C9" s="6" t="inlineStr">
        <is>
          <t>28/02/2026</t>
        </is>
      </c>
      <c r="D9" s="6" t="inlineStr">
        <is>
          <t>CIMENTACIÓN MURO VECINO</t>
        </is>
      </c>
      <c r="E9" s="6" t="inlineStr">
        <is>
          <t>EXPRESS HORMIGONES SL.</t>
        </is>
      </c>
      <c r="F9" s="6" t="inlineStr">
        <is>
          <t>IMPUTADO</t>
        </is>
      </c>
      <c r="G9" s="4" t="n">
        <v>689.5</v>
      </c>
    </row>
    <row r="10">
      <c r="A10" s="6" t="inlineStr">
        <is>
          <t>2100 - OBRA MURO VECINO CAMPO</t>
        </is>
      </c>
      <c r="B10" s="6" t="inlineStr">
        <is>
          <t>S/24</t>
        </is>
      </c>
      <c r="C10" s="6" t="inlineStr">
        <is>
          <t>13/03/2026</t>
        </is>
      </c>
      <c r="D10" s="6" t="inlineStr">
        <is>
          <t>HORMIGÓN MURO VECINO</t>
        </is>
      </c>
      <c r="E10" s="6" t="inlineStr">
        <is>
          <t>SEBASTIAN NAVARRO SL</t>
        </is>
      </c>
      <c r="F10" s="6" t="inlineStr">
        <is>
          <t>IMPUTADO</t>
        </is>
      </c>
      <c r="G10" s="4" t="n">
        <v>461.5</v>
      </c>
    </row>
    <row r="11">
      <c r="A11" s="6" t="inlineStr">
        <is>
          <t>2100 - OBRA MURO VECINO CAMPO</t>
        </is>
      </c>
      <c r="B11" s="6" t="inlineStr">
        <is>
          <t>606659-1</t>
        </is>
      </c>
      <c r="C11" s="6" t="inlineStr">
        <is>
          <t>18/02/2026</t>
        </is>
      </c>
      <c r="D11" s="6" t="inlineStr">
        <is>
          <t>PRESUPUESTO Nº 606659-1</t>
        </is>
      </c>
      <c r="E11" s="6" t="inlineStr">
        <is>
          <t>LEROY MERLIN ESPAÑA SL</t>
        </is>
      </c>
      <c r="F11" s="6" t="inlineStr">
        <is>
          <t>IMPUTADO</t>
        </is>
      </c>
      <c r="G11" s="4" t="n">
        <v>457.02</v>
      </c>
    </row>
    <row r="12">
      <c r="A12" s="6" t="inlineStr">
        <is>
          <t>2100 - OBRA MURO VECINO CAMPO</t>
        </is>
      </c>
      <c r="B12" s="6" t="inlineStr">
        <is>
          <t>609212</t>
        </is>
      </c>
      <c r="C12" s="6" t="inlineStr">
        <is>
          <t>04/03/2026</t>
        </is>
      </c>
      <c r="D12" s="6" t="inlineStr">
        <is>
          <t>PRESUPUESTO Nº 609212</t>
        </is>
      </c>
      <c r="E12" s="6" t="inlineStr">
        <is>
          <t>LEROY MERLIN ESPAÑA SL</t>
        </is>
      </c>
      <c r="F12" s="6" t="inlineStr">
        <is>
          <t>IMPUTADO</t>
        </is>
      </c>
      <c r="G12" s="4" t="n">
        <v>432.73</v>
      </c>
    </row>
    <row r="13">
      <c r="A13" s="6" t="inlineStr">
        <is>
          <t>2100 - OBRA MURO VECINO CAMPO</t>
        </is>
      </c>
      <c r="B13" s="6" t="inlineStr">
        <is>
          <t>608952</t>
        </is>
      </c>
      <c r="C13" s="6" t="inlineStr">
        <is>
          <t>03/03/2026</t>
        </is>
      </c>
      <c r="D13" s="6" t="inlineStr">
        <is>
          <t>PRESUPUESTO Nº 608952</t>
        </is>
      </c>
      <c r="E13" s="6" t="inlineStr">
        <is>
          <t>LEROY MERLIN ESPAÑA SL</t>
        </is>
      </c>
      <c r="F13" s="6" t="inlineStr">
        <is>
          <t>IMPUTADO</t>
        </is>
      </c>
      <c r="G13" s="4" t="n">
        <v>413.83</v>
      </c>
    </row>
    <row r="14">
      <c r="A14" s="6" t="inlineStr">
        <is>
          <t>2100 - OBRA MURO VECINO CAMPO</t>
        </is>
      </c>
      <c r="B14" s="6" t="inlineStr">
        <is>
          <t>607423-1</t>
        </is>
      </c>
      <c r="C14" s="6" t="inlineStr">
        <is>
          <t>23/02/2026</t>
        </is>
      </c>
      <c r="D14" s="6" t="inlineStr">
        <is>
          <t>PRESUPUESTO Nº 607423-1</t>
        </is>
      </c>
      <c r="E14" s="6" t="inlineStr">
        <is>
          <t>LEROY MERLIN ESPAÑA SL</t>
        </is>
      </c>
      <c r="F14" s="6" t="inlineStr">
        <is>
          <t>IMPUTADO</t>
        </is>
      </c>
      <c r="G14" s="4" t="n">
        <v>341.19</v>
      </c>
    </row>
    <row r="15">
      <c r="A15" s="6" t="inlineStr">
        <is>
          <t>2100 - OBRA MURO VECINO CAMPO</t>
        </is>
      </c>
      <c r="B15" s="6" t="inlineStr">
        <is>
          <t>FV26-007739</t>
        </is>
      </c>
      <c r="C15" s="6" t="inlineStr">
        <is>
          <t>20/03/2026</t>
        </is>
      </c>
      <c r="D15" s="6" t="inlineStr">
        <is>
          <t>MATERIAL</t>
        </is>
      </c>
      <c r="E15" s="6" t="inlineStr">
        <is>
          <t>HIJOS DE JOSE BUSQUIER SL</t>
        </is>
      </c>
      <c r="F15" s="6" t="inlineStr">
        <is>
          <t>IMPUTADO</t>
        </is>
      </c>
      <c r="G15" s="4" t="n">
        <v>83.68000000000001</v>
      </c>
    </row>
    <row r="16">
      <c r="A16" s="6" t="inlineStr">
        <is>
          <t>2100 - OBRA MURO VECINO CAMPO</t>
        </is>
      </c>
      <c r="B16" s="6" t="inlineStr">
        <is>
          <t>FV26-005483</t>
        </is>
      </c>
      <c r="C16" s="6" t="inlineStr">
        <is>
          <t>27/02/2026</t>
        </is>
      </c>
      <c r="D16" s="6" t="inlineStr">
        <is>
          <t>ALAMBRE RECOCIDO</t>
        </is>
      </c>
      <c r="E16" s="6" t="inlineStr">
        <is>
          <t>HIJOS DE JOSE BUSQUIER SL</t>
        </is>
      </c>
      <c r="F16" s="6" t="inlineStr">
        <is>
          <t>IMPUTADO</t>
        </is>
      </c>
      <c r="G16" s="4" t="n">
        <v>12.94</v>
      </c>
    </row>
    <row r="17">
      <c r="A17" s="6" t="inlineStr">
        <is>
          <t>2400 - ARREGLOS OBRAS ARAQUE Y MAQUEDA</t>
        </is>
      </c>
      <c r="B17" s="6" t="inlineStr">
        <is>
          <t>TND/17</t>
        </is>
      </c>
      <c r="C17" s="6" t="inlineStr">
        <is>
          <t>02/02/2026</t>
        </is>
      </c>
      <c r="D17" s="6" t="inlineStr">
        <is>
          <t>ARREGLO ALMORADÍ</t>
        </is>
      </c>
      <c r="E17" s="6" t="inlineStr">
        <is>
          <t>GOCLIMA FRIO Y CALOR SL</t>
        </is>
      </c>
      <c r="F17" s="6" t="inlineStr">
        <is>
          <t>IMPUTADO</t>
        </is>
      </c>
      <c r="G17" s="4" t="n">
        <v>2150</v>
      </c>
    </row>
    <row r="18">
      <c r="A18" s="6" t="inlineStr">
        <is>
          <t>2400 - ARREGLOS OBRAS ARAQUE Y MAQUEDA</t>
        </is>
      </c>
      <c r="B18" s="6" t="inlineStr">
        <is>
          <t>4</t>
        </is>
      </c>
      <c r="C18" s="6" t="inlineStr">
        <is>
          <t>05/02/2026</t>
        </is>
      </c>
      <c r="D18" s="6" t="inlineStr">
        <is>
          <t>REPARACIÓN ALMORADÍ</t>
        </is>
      </c>
      <c r="E18" s="6" t="inlineStr"/>
      <c r="F18" s="6" t="inlineStr">
        <is>
          <t>IMPUTADO</t>
        </is>
      </c>
      <c r="G18" s="4" t="n">
        <v>680</v>
      </c>
    </row>
    <row r="19">
      <c r="A19" s="6" t="inlineStr">
        <is>
          <t>2400 - ARREGLOS OBRAS ARAQUE Y MAQUEDA</t>
        </is>
      </c>
      <c r="B19" s="6" t="inlineStr">
        <is>
          <t>TND/18</t>
        </is>
      </c>
      <c r="C19" s="6" t="inlineStr">
        <is>
          <t>02/02/2026</t>
        </is>
      </c>
      <c r="D19" s="6" t="inlineStr">
        <is>
          <t>ARREGLO ALMORADÍ</t>
        </is>
      </c>
      <c r="E19" s="6" t="inlineStr">
        <is>
          <t>GOCLIMA FRIO Y CALOR SL</t>
        </is>
      </c>
      <c r="F19" s="6" t="inlineStr">
        <is>
          <t>IMPUTADO</t>
        </is>
      </c>
      <c r="G19" s="4" t="n">
        <v>299</v>
      </c>
    </row>
    <row r="20">
      <c r="A20" s="6" t="inlineStr">
        <is>
          <t>24001 - OBRA C/IBIZA, ASPE (CASA CABO)</t>
        </is>
      </c>
      <c r="B20" s="6" t="inlineStr">
        <is>
          <t>8</t>
        </is>
      </c>
      <c r="C20" s="6" t="inlineStr">
        <is>
          <t>29/01/2026</t>
        </is>
      </c>
      <c r="D20" s="6" t="inlineStr">
        <is>
          <t>MICROPULIDO DE HORMIGÓN</t>
        </is>
      </c>
      <c r="E20" s="6" t="inlineStr">
        <is>
          <t>VICTOR MANUEL EGEA BARNEO</t>
        </is>
      </c>
      <c r="F20" s="6" t="inlineStr">
        <is>
          <t>SIN IMPUTAR</t>
        </is>
      </c>
      <c r="G20" s="4" t="n">
        <v>1582</v>
      </c>
    </row>
    <row r="21">
      <c r="A21" s="6" t="inlineStr">
        <is>
          <t>24001 - OBRA C/IBIZA, ASPE (CASA CABO)</t>
        </is>
      </c>
      <c r="B21" s="6" t="inlineStr">
        <is>
          <t>F1/2026063</t>
        </is>
      </c>
      <c r="C21" s="6" t="inlineStr">
        <is>
          <t>29/04/2026</t>
        </is>
      </c>
      <c r="D21" s="6" t="inlineStr">
        <is>
          <t>ENSAYO BLOWER DOOR FINAL DE OBRA</t>
        </is>
      </c>
      <c r="E21" s="6" t="inlineStr">
        <is>
          <t>ALTERMAT DISTRIBUCIONES SOSTENIBLES SL.</t>
        </is>
      </c>
      <c r="F21" s="6" t="inlineStr">
        <is>
          <t>SIN IMPUTAR</t>
        </is>
      </c>
      <c r="G21" s="4" t="n">
        <v>575.7</v>
      </c>
    </row>
    <row r="22">
      <c r="A22" s="6" t="inlineStr">
        <is>
          <t>24001 - OBRA C/IBIZA, ASPE (CASA CABO)</t>
        </is>
      </c>
      <c r="B22" s="6" t="inlineStr">
        <is>
          <t>4</t>
        </is>
      </c>
      <c r="C22" s="6" t="inlineStr">
        <is>
          <t>27/02/2026</t>
        </is>
      </c>
      <c r="D22" s="6" t="inlineStr">
        <is>
          <t>PINTURA SÓTANO Y REPASO</t>
        </is>
      </c>
      <c r="E22" s="6" t="inlineStr">
        <is>
          <t>PINTURAS DIAL SL.</t>
        </is>
      </c>
      <c r="F22" s="6" t="inlineStr">
        <is>
          <t>SIN IMPUTAR</t>
        </is>
      </c>
      <c r="G22" s="4" t="n">
        <v>480</v>
      </c>
    </row>
    <row r="23">
      <c r="A23" s="6" t="inlineStr">
        <is>
          <t>24001 - OBRA C/IBIZA, ASPE (CASA CABO)</t>
        </is>
      </c>
      <c r="B23" s="6" t="inlineStr">
        <is>
          <t>A-1423/2026</t>
        </is>
      </c>
      <c r="C23" s="6" t="inlineStr">
        <is>
          <t>20/04/2026</t>
        </is>
      </c>
      <c r="D23" s="6" t="inlineStr">
        <is>
          <t>ESTUDIO DE ESTANQUEIDAD DE CUBIERTA POR RIEGO</t>
        </is>
      </c>
      <c r="E23" s="6" t="inlineStr">
        <is>
          <t>LABORATORIO DE CALIDAD Y TECNOLOGIA DE LOS MATERIALES SL.</t>
        </is>
      </c>
      <c r="F23" s="6" t="inlineStr">
        <is>
          <t>SIN IMPUTAR</t>
        </is>
      </c>
      <c r="G23" s="4" t="n">
        <v>325</v>
      </c>
    </row>
    <row r="24">
      <c r="A24" s="6" t="inlineStr">
        <is>
          <t>24001 - OBRA C/IBIZA, ASPE (CASA CABO)</t>
        </is>
      </c>
      <c r="B24" s="6" t="inlineStr">
        <is>
          <t>2026-31</t>
        </is>
      </c>
      <c r="C24" s="6" t="inlineStr">
        <is>
          <t>31/03/2026</t>
        </is>
      </c>
      <c r="D24" s="6" t="inlineStr">
        <is>
          <t>MARCO DE ALUMINIO - PASAMANOS DE HIERRO + INSTALACIÓN</t>
        </is>
      </c>
      <c r="E24" s="6" t="inlineStr">
        <is>
          <t>ALEJANDRO CUTILLAS CAÑABATE</t>
        </is>
      </c>
      <c r="F24" s="6" t="inlineStr">
        <is>
          <t>SIN IMPUTAR</t>
        </is>
      </c>
      <c r="G24" s="4" t="n">
        <v>285.5</v>
      </c>
    </row>
    <row r="25">
      <c r="A25" s="6" t="inlineStr">
        <is>
          <t>24002 - FORMENTERA 14, JUANMA</t>
        </is>
      </c>
      <c r="B25" s="6" t="inlineStr">
        <is>
          <t>2026-3</t>
        </is>
      </c>
      <c r="C25" s="6" t="inlineStr">
        <is>
          <t>09/01/2026</t>
        </is>
      </c>
      <c r="D25" s="6" t="inlineStr">
        <is>
          <t>VENTANAS CAÑA</t>
        </is>
      </c>
      <c r="E25" s="6" t="inlineStr">
        <is>
          <t>ALEJANDRO CUTILLAS CAÑABATE</t>
        </is>
      </c>
      <c r="F25" s="6" t="inlineStr">
        <is>
          <t>IMPUTADO</t>
        </is>
      </c>
      <c r="G25" s="4" t="n">
        <v>15657.44</v>
      </c>
    </row>
    <row r="26">
      <c r="A26" s="6" t="inlineStr">
        <is>
          <t>24002 - FORMENTERA 14, JUANMA</t>
        </is>
      </c>
      <c r="B26" s="6" t="inlineStr">
        <is>
          <t>74</t>
        </is>
      </c>
      <c r="C26" s="6" t="inlineStr">
        <is>
          <t>30/04/2026</t>
        </is>
      </c>
      <c r="D26" s="6" t="inlineStr">
        <is>
          <t>FONTANERIA AEROTERMIA</t>
        </is>
      </c>
      <c r="E26" s="6" t="inlineStr">
        <is>
          <t>HIDROELIKE SLL</t>
        </is>
      </c>
      <c r="F26" s="6" t="inlineStr">
        <is>
          <t>IMPUTADO</t>
        </is>
      </c>
      <c r="G26" s="4" t="n">
        <v>10263.35</v>
      </c>
    </row>
    <row r="27">
      <c r="A27" s="6" t="inlineStr">
        <is>
          <t>24002 - FORMENTERA 14, JUANMA</t>
        </is>
      </c>
      <c r="B27" s="6" t="inlineStr">
        <is>
          <t>2026-18</t>
        </is>
      </c>
      <c r="C27" s="6" t="inlineStr">
        <is>
          <t>23/02/2026</t>
        </is>
      </c>
      <c r="D27" s="6" t="inlineStr">
        <is>
          <t>PUERTA Y VALLA CASA</t>
        </is>
      </c>
      <c r="E27" s="6" t="inlineStr">
        <is>
          <t>ALEJANDRO CUTILLAS CAÑABATE</t>
        </is>
      </c>
      <c r="F27" s="6" t="inlineStr">
        <is>
          <t>IMPUTADO</t>
        </is>
      </c>
      <c r="G27" s="4" t="n">
        <v>7539.68</v>
      </c>
    </row>
    <row r="28">
      <c r="A28" s="6" t="inlineStr">
        <is>
          <t>24002 - FORMENTERA 14, JUANMA</t>
        </is>
      </c>
      <c r="B28" s="6" t="inlineStr">
        <is>
          <t>F26 00000029</t>
        </is>
      </c>
      <c r="C28" s="6" t="inlineStr">
        <is>
          <t>23/04/2026</t>
        </is>
      </c>
      <c r="D28" s="6" t="inlineStr">
        <is>
          <t>INSTALACIÓN ELÉCTRICA</t>
        </is>
      </c>
      <c r="E28" s="6" t="inlineStr">
        <is>
          <t>INSTALACIONES ELECTRICAS FERRIS, O.E.</t>
        </is>
      </c>
      <c r="F28" s="6" t="inlineStr">
        <is>
          <t>IMPUTADO</t>
        </is>
      </c>
      <c r="G28" s="4" t="n">
        <v>5961</v>
      </c>
    </row>
    <row r="29">
      <c r="A29" s="6" t="inlineStr">
        <is>
          <t>24002 - FORMENTERA 14, JUANMA</t>
        </is>
      </c>
      <c r="B29" s="6" t="inlineStr">
        <is>
          <t>F260013</t>
        </is>
      </c>
      <c r="C29" s="6" t="inlineStr">
        <is>
          <t>03/06/2026</t>
        </is>
      </c>
      <c r="D29" s="6" t="inlineStr">
        <is>
          <t>PLACAS SOLARES Y FOTOVOLTÁICAS</t>
        </is>
      </c>
      <c r="E29" s="6" t="inlineStr">
        <is>
          <t>SUPERNOVA RENOVABLES SL.</t>
        </is>
      </c>
      <c r="F29" s="6" t="inlineStr">
        <is>
          <t>IMPUTADO</t>
        </is>
      </c>
      <c r="G29" s="4" t="n">
        <v>3985</v>
      </c>
    </row>
    <row r="30">
      <c r="A30" s="6" t="inlineStr">
        <is>
          <t>24002 - FORMENTERA 14, JUANMA</t>
        </is>
      </c>
      <c r="B30" s="6" t="inlineStr">
        <is>
          <t>TND/33</t>
        </is>
      </c>
      <c r="C30" s="6" t="inlineStr">
        <is>
          <t>26/02/2026</t>
        </is>
      </c>
      <c r="D30" s="6" t="inlineStr">
        <is>
          <t>SISTEMA DE ZONAS MARCA AIZONE  #instalaciones/aacc</t>
        </is>
      </c>
      <c r="E30" s="6" t="inlineStr">
        <is>
          <t>GOCLIMA FRIO Y CALOR SL</t>
        </is>
      </c>
      <c r="F30" s="6" t="inlineStr">
        <is>
          <t>IMPUTADO</t>
        </is>
      </c>
      <c r="G30" s="4" t="n">
        <v>3936</v>
      </c>
    </row>
    <row r="31">
      <c r="A31" s="6" t="inlineStr">
        <is>
          <t>24002 - FORMENTERA 14, JUANMA</t>
        </is>
      </c>
      <c r="B31" s="6" t="inlineStr">
        <is>
          <t>76</t>
        </is>
      </c>
      <c r="C31" s="6" t="inlineStr">
        <is>
          <t>30/04/2026</t>
        </is>
      </c>
      <c r="D31" s="6" t="inlineStr">
        <is>
          <t>FONTANERIA PISCINA</t>
        </is>
      </c>
      <c r="E31" s="6" t="inlineStr">
        <is>
          <t>HIDROELIKE SLL</t>
        </is>
      </c>
      <c r="F31" s="6" t="inlineStr">
        <is>
          <t>IMPUTADO</t>
        </is>
      </c>
      <c r="G31" s="4" t="n">
        <v>3228.25</v>
      </c>
    </row>
    <row r="32">
      <c r="A32" s="6" t="inlineStr">
        <is>
          <t>24002 - FORMENTERA 14, JUANMA</t>
        </is>
      </c>
      <c r="B32" s="6" t="inlineStr">
        <is>
          <t>VOR 000066</t>
        </is>
      </c>
      <c r="C32" s="6" t="inlineStr">
        <is>
          <t>02/04/2026</t>
        </is>
      </c>
      <c r="D32" s="6" t="inlineStr">
        <is>
          <t>COCINA-BANCADA</t>
        </is>
      </c>
      <c r="E32" s="6" t="inlineStr">
        <is>
          <t>JESUS SANCHO GRAO</t>
        </is>
      </c>
      <c r="F32" s="6" t="inlineStr">
        <is>
          <t>IMPUTADO</t>
        </is>
      </c>
      <c r="G32" s="4" t="n">
        <v>2800</v>
      </c>
    </row>
    <row r="33">
      <c r="A33" s="6" t="inlineStr">
        <is>
          <t>24002 - FORMENTERA 14, JUANMA</t>
        </is>
      </c>
      <c r="B33" s="6" t="inlineStr">
        <is>
          <t>2026-19</t>
        </is>
      </c>
      <c r="C33" s="6" t="inlineStr">
        <is>
          <t>23/02/2026</t>
        </is>
      </c>
      <c r="D33" s="6" t="inlineStr">
        <is>
          <t>MOSQUITERAS #ALUMINIO</t>
        </is>
      </c>
      <c r="E33" s="6" t="inlineStr">
        <is>
          <t>ALEJANDRO CUTILLAS CAÑABATE</t>
        </is>
      </c>
      <c r="F33" s="6" t="inlineStr">
        <is>
          <t>IMPUTADO</t>
        </is>
      </c>
      <c r="G33" s="4" t="n">
        <v>2599</v>
      </c>
    </row>
    <row r="34">
      <c r="A34" s="6" t="inlineStr">
        <is>
          <t>24002 - FORMENTERA 14, JUANMA</t>
        </is>
      </c>
      <c r="B34" s="6" t="inlineStr">
        <is>
          <t>A/61</t>
        </is>
      </c>
      <c r="C34" s="6" t="inlineStr">
        <is>
          <t>17/03/2026</t>
        </is>
      </c>
      <c r="D34" s="6" t="inlineStr">
        <is>
          <t>MONTAJE MUEBLES DE IKEA</t>
        </is>
      </c>
      <c r="E34" s="6" t="inlineStr">
        <is>
          <t>CARPINTERIA EBANISTERIA BAMBU SL.</t>
        </is>
      </c>
      <c r="F34" s="6" t="inlineStr">
        <is>
          <t>IMPUTADO</t>
        </is>
      </c>
      <c r="G34" s="4" t="n">
        <v>2500</v>
      </c>
    </row>
    <row r="35">
      <c r="A35" s="6" t="inlineStr">
        <is>
          <t>24002 - FORMENTERA 14, JUANMA</t>
        </is>
      </c>
      <c r="B35" s="6" t="inlineStr">
        <is>
          <t>7</t>
        </is>
      </c>
      <c r="C35" s="6" t="inlineStr">
        <is>
          <t>13/02/2026</t>
        </is>
      </c>
      <c r="D35" s="6" t="inlineStr">
        <is>
          <t>FRATASADO</t>
        </is>
      </c>
      <c r="E35" s="6" t="inlineStr">
        <is>
          <t>PAVIMPRESOS FORTUNA MMXVIII C.B.</t>
        </is>
      </c>
      <c r="F35" s="6" t="inlineStr">
        <is>
          <t>IMPUTADO</t>
        </is>
      </c>
      <c r="G35" s="4" t="n">
        <v>2130.02</v>
      </c>
    </row>
    <row r="36">
      <c r="A36" s="6" t="inlineStr">
        <is>
          <t>24002 - FORMENTERA 14, JUANMA</t>
        </is>
      </c>
      <c r="B36" s="6" t="inlineStr">
        <is>
          <t>6</t>
        </is>
      </c>
      <c r="C36" s="6" t="inlineStr">
        <is>
          <t>12/02/2026</t>
        </is>
      </c>
      <c r="D36" s="6" t="inlineStr">
        <is>
          <t>HORMIGON FRATASADO MT2 #PROVEEDOR</t>
        </is>
      </c>
      <c r="E36" s="6" t="inlineStr">
        <is>
          <t>PAVIMPRESOS FORTUNA MMXVIII C.B.</t>
        </is>
      </c>
      <c r="F36" s="6" t="inlineStr">
        <is>
          <t>IMPUTADO</t>
        </is>
      </c>
      <c r="G36" s="4" t="n">
        <v>1750</v>
      </c>
    </row>
    <row r="37">
      <c r="A37" s="6" t="inlineStr">
        <is>
          <t>24002 - FORMENTERA 14, JUANMA</t>
        </is>
      </c>
      <c r="B37" s="6" t="inlineStr">
        <is>
          <t>75</t>
        </is>
      </c>
      <c r="C37" s="6" t="inlineStr">
        <is>
          <t>30/04/2026</t>
        </is>
      </c>
      <c r="D37" s="6" t="inlineStr">
        <is>
          <t>FONTANERIA DESCALCIFICADOR</t>
        </is>
      </c>
      <c r="E37" s="6" t="inlineStr">
        <is>
          <t>HIDROELIKE SLL</t>
        </is>
      </c>
      <c r="F37" s="6" t="inlineStr">
        <is>
          <t>IMPUTADO</t>
        </is>
      </c>
      <c r="G37" s="4" t="n">
        <v>1583.4</v>
      </c>
    </row>
    <row r="38">
      <c r="A38" s="6" t="inlineStr">
        <is>
          <t>24002 - FORMENTERA 14, JUANMA</t>
        </is>
      </c>
      <c r="B38" s="6" t="inlineStr">
        <is>
          <t>A/43</t>
        </is>
      </c>
      <c r="C38" s="6" t="inlineStr">
        <is>
          <t>26/02/2026</t>
        </is>
      </c>
      <c r="D38" s="6" t="inlineStr">
        <is>
          <t>MUEBLES COCINA #Carpinteria Madera</t>
        </is>
      </c>
      <c r="E38" s="6" t="inlineStr">
        <is>
          <t>CARPINTERIA EBANISTERIA BAMBU SL.</t>
        </is>
      </c>
      <c r="F38" s="6" t="inlineStr">
        <is>
          <t>IMPUTADO</t>
        </is>
      </c>
      <c r="G38" s="4" t="n">
        <v>1280</v>
      </c>
    </row>
    <row r="39">
      <c r="A39" s="6" t="inlineStr">
        <is>
          <t>24002 - FORMENTERA 14, JUANMA</t>
        </is>
      </c>
      <c r="B39" s="6" t="inlineStr">
        <is>
          <t>5</t>
        </is>
      </c>
      <c r="C39" s="6" t="inlineStr">
        <is>
          <t>10/04/2026</t>
        </is>
      </c>
      <c r="D39" s="6" t="inlineStr">
        <is>
          <t>PINTURA</t>
        </is>
      </c>
      <c r="E39" s="6" t="inlineStr">
        <is>
          <t>PINTURAS EL CID SL.</t>
        </is>
      </c>
      <c r="F39" s="6" t="inlineStr">
        <is>
          <t>IMPUTADO</t>
        </is>
      </c>
      <c r="G39" s="4" t="n">
        <v>960</v>
      </c>
    </row>
    <row r="40">
      <c r="A40" s="6" t="inlineStr">
        <is>
          <t>24002 - FORMENTERA 14, JUANMA</t>
        </is>
      </c>
      <c r="B40" s="6" t="inlineStr">
        <is>
          <t>TND/35</t>
        </is>
      </c>
      <c r="C40" s="6" t="inlineStr">
        <is>
          <t>02/03/2026</t>
        </is>
      </c>
      <c r="D40" s="6" t="inlineStr">
        <is>
          <t>INSTALACION MAQUINA AEROTERMIA DAIKIN #instalaciones/aacc</t>
        </is>
      </c>
      <c r="E40" s="6" t="inlineStr">
        <is>
          <t>GOCLIMA FRIO Y CALOR SL</t>
        </is>
      </c>
      <c r="F40" s="6" t="inlineStr">
        <is>
          <t>IMPUTADO</t>
        </is>
      </c>
      <c r="G40" s="4" t="n">
        <v>799</v>
      </c>
    </row>
    <row r="41">
      <c r="A41" s="6" t="inlineStr">
        <is>
          <t>24002 - FORMENTERA 14, JUANMA</t>
        </is>
      </c>
      <c r="B41" s="6" t="inlineStr">
        <is>
          <t>A-737/2026</t>
        </is>
      </c>
      <c r="C41" s="6" t="inlineStr">
        <is>
          <t>31/08/2026</t>
        </is>
      </c>
      <c r="D41" s="6" t="inlineStr">
        <is>
          <t>CERTIFICADO ACUSTICO</t>
        </is>
      </c>
      <c r="E41" s="6" t="inlineStr">
        <is>
          <t>LABORATORIO DE INGENIERIA Y MEDIO AMBIENTE SA.</t>
        </is>
      </c>
      <c r="F41" s="6" t="inlineStr">
        <is>
          <t>IMPUTADO</t>
        </is>
      </c>
      <c r="G41" s="4" t="n">
        <v>650</v>
      </c>
    </row>
    <row r="42">
      <c r="A42" s="6" t="inlineStr">
        <is>
          <t>24002 - FORMENTERA 14, JUANMA</t>
        </is>
      </c>
      <c r="B42" s="6" t="inlineStr">
        <is>
          <t>26089</t>
        </is>
      </c>
      <c r="C42" s="6" t="inlineStr">
        <is>
          <t>23/06/2026</t>
        </is>
      </c>
      <c r="D42" s="6" t="inlineStr">
        <is>
          <t>INSTALACIÓN ANTENA PARABÓLICA</t>
        </is>
      </c>
      <c r="E42" s="6" t="inlineStr">
        <is>
          <t>GINES MARCO PEREA</t>
        </is>
      </c>
      <c r="F42" s="6" t="inlineStr">
        <is>
          <t>IMPUTADO</t>
        </is>
      </c>
      <c r="G42" s="4" t="n">
        <v>611</v>
      </c>
    </row>
    <row r="43">
      <c r="A43" s="6" t="inlineStr">
        <is>
          <t>24002 - FORMENTERA 14, JUANMA</t>
        </is>
      </c>
      <c r="B43" s="6" t="inlineStr">
        <is>
          <t>2026-2</t>
        </is>
      </c>
      <c r="C43" s="6" t="inlineStr">
        <is>
          <t>09/01/2026</t>
        </is>
      </c>
      <c r="D43" s="6" t="inlineStr">
        <is>
          <t>TAPA ARQUETA</t>
        </is>
      </c>
      <c r="E43" s="6" t="inlineStr">
        <is>
          <t>ALEJANDRO CUTILLAS CAÑABATE</t>
        </is>
      </c>
      <c r="F43" s="6" t="inlineStr">
        <is>
          <t>IMPUTADO</t>
        </is>
      </c>
      <c r="G43" s="4" t="n">
        <v>493.9</v>
      </c>
    </row>
    <row r="44">
      <c r="A44" s="6" t="inlineStr">
        <is>
          <t>24002 - FORMENTERA 14, JUANMA</t>
        </is>
      </c>
      <c r="B44" s="6" t="inlineStr">
        <is>
          <t>A-260/2026</t>
        </is>
      </c>
      <c r="C44" s="6" t="inlineStr">
        <is>
          <t>26/03/2026</t>
        </is>
      </c>
      <c r="D44" s="6" t="inlineStr">
        <is>
          <t>ENSAYO BLOWER-DOOR</t>
        </is>
      </c>
      <c r="E44" s="6" t="inlineStr">
        <is>
          <t>LABORATORIO DE INGENIERIA Y MEDIO AMBIENTE SA.</t>
        </is>
      </c>
      <c r="F44" s="6" t="inlineStr">
        <is>
          <t>IMPUTADO</t>
        </is>
      </c>
      <c r="G44" s="4" t="n">
        <v>450</v>
      </c>
    </row>
    <row r="45">
      <c r="A45" s="6" t="inlineStr">
        <is>
          <t>24002 - FORMENTERA 14, JUANMA</t>
        </is>
      </c>
      <c r="B45" s="6" t="inlineStr">
        <is>
          <t>26-004</t>
        </is>
      </c>
      <c r="C45" s="6" t="inlineStr">
        <is>
          <t>18/03/2026</t>
        </is>
      </c>
      <c r="D45" s="6" t="inlineStr">
        <is>
          <t>PLADUR #montaje,  mano de obra cerramiento de pladur</t>
        </is>
      </c>
      <c r="E45" s="6" t="inlineStr">
        <is>
          <t>FRANCISCO JAVIER GONZALEZ MARTINEZ</t>
        </is>
      </c>
      <c r="F45" s="6" t="inlineStr">
        <is>
          <t>IMPUTADO</t>
        </is>
      </c>
      <c r="G45" s="4" t="n">
        <v>425</v>
      </c>
    </row>
    <row r="46">
      <c r="A46" s="6" t="inlineStr">
        <is>
          <t>24002 - FORMENTERA 14, JUANMA</t>
        </is>
      </c>
      <c r="B46" s="6" t="inlineStr">
        <is>
          <t>2026 C1 45</t>
        </is>
      </c>
      <c r="C46" s="6" t="inlineStr">
        <is>
          <t>04/02/2026</t>
        </is>
      </c>
      <c r="D46" s="6" t="inlineStr">
        <is>
          <t>CÉSPED ARTIFICIAL</t>
        </is>
      </c>
      <c r="E46" s="6" t="inlineStr">
        <is>
          <t>ECONATURA DESIGN SL</t>
        </is>
      </c>
      <c r="F46" s="6" t="inlineStr">
        <is>
          <t>IMPUTADO</t>
        </is>
      </c>
      <c r="G46" s="4" t="n">
        <v>405.45</v>
      </c>
    </row>
    <row r="47">
      <c r="A47" s="6" t="inlineStr">
        <is>
          <t>24002 - FORMENTERA 14, JUANMA</t>
        </is>
      </c>
      <c r="B47" s="6" t="inlineStr">
        <is>
          <t>1365</t>
        </is>
      </c>
      <c r="C47" s="6" t="inlineStr">
        <is>
          <t>29/01/2026</t>
        </is>
      </c>
      <c r="D47" s="6" t="inlineStr">
        <is>
          <t>GRIFERIA EMPOTRADA</t>
        </is>
      </c>
      <c r="E47" s="6" t="inlineStr">
        <is>
          <t>SALTOKI ELCHE SL.</t>
        </is>
      </c>
      <c r="F47" s="6" t="inlineStr">
        <is>
          <t>IMPUTADO</t>
        </is>
      </c>
      <c r="G47" s="4" t="n">
        <v>368.5</v>
      </c>
    </row>
    <row r="48">
      <c r="A48" s="6" t="inlineStr">
        <is>
          <t>24002 - FORMENTERA 14, JUANMA</t>
        </is>
      </c>
      <c r="B48" s="6" t="inlineStr">
        <is>
          <t>A-546/2026</t>
        </is>
      </c>
      <c r="C48" s="6" t="inlineStr">
        <is>
          <t>30/06/2026</t>
        </is>
      </c>
      <c r="D48" s="6" t="inlineStr">
        <is>
          <t>50% CONTROL EXTERNO CERTIFICACION ENERGETICA</t>
        </is>
      </c>
      <c r="E48" s="6" t="inlineStr">
        <is>
          <t>LABORATORIO DE INGENIERIA Y MEDIO AMBIENTE SA.</t>
        </is>
      </c>
      <c r="F48" s="6" t="inlineStr">
        <is>
          <t>IMPUTADO</t>
        </is>
      </c>
      <c r="G48" s="4" t="n">
        <v>355</v>
      </c>
    </row>
    <row r="49">
      <c r="A49" s="6" t="inlineStr">
        <is>
          <t>24002 - FORMENTERA 14, JUANMA</t>
        </is>
      </c>
      <c r="B49" s="6" t="inlineStr">
        <is>
          <t>A-225/2026</t>
        </is>
      </c>
      <c r="C49" s="6" t="inlineStr">
        <is>
          <t>12/03/2026</t>
        </is>
      </c>
      <c r="D49" s="6" t="inlineStr">
        <is>
          <t>CONTROL EXTERNO #eficiencia energética</t>
        </is>
      </c>
      <c r="E49" s="6" t="inlineStr">
        <is>
          <t>LABORATORIO DE INGENIERIA Y MEDIO AMBIENTE SA.</t>
        </is>
      </c>
      <c r="F49" s="6" t="inlineStr">
        <is>
          <t>IMPUTADO</t>
        </is>
      </c>
      <c r="G49" s="4" t="n">
        <v>355</v>
      </c>
    </row>
    <row r="50">
      <c r="A50" s="6" t="inlineStr">
        <is>
          <t>24002 - FORMENTERA 14, JUANMA</t>
        </is>
      </c>
      <c r="B50" s="6" t="inlineStr">
        <is>
          <t>A-26/50</t>
        </is>
      </c>
      <c r="C50" s="6" t="inlineStr">
        <is>
          <t>15/02/2026</t>
        </is>
      </c>
      <c r="D50" s="6" t="inlineStr">
        <is>
          <t>CONTENEDORES</t>
        </is>
      </c>
      <c r="E50" s="6" t="inlineStr">
        <is>
          <t>CONTENEDORES Y EXCAVACIONES ASPE SL.</t>
        </is>
      </c>
      <c r="F50" s="6" t="inlineStr">
        <is>
          <t>IMPUTADO</t>
        </is>
      </c>
      <c r="G50" s="4" t="n">
        <v>230</v>
      </c>
    </row>
    <row r="51">
      <c r="A51" s="6" t="inlineStr">
        <is>
          <t>24002 - FORMENTERA 14, JUANMA</t>
        </is>
      </c>
      <c r="B51" s="6" t="inlineStr">
        <is>
          <t>A/157</t>
        </is>
      </c>
      <c r="C51" s="6" t="inlineStr">
        <is>
          <t>25/03/2026</t>
        </is>
      </c>
      <c r="D51" s="6" t="inlineStr">
        <is>
          <t>RODAPIE EXTERIOR #monocapa exterior</t>
        </is>
      </c>
      <c r="E51" s="6" t="inlineStr">
        <is>
          <t>MARMOLES FEROSA SL.</t>
        </is>
      </c>
      <c r="F51" s="6" t="inlineStr">
        <is>
          <t>IMPUTADO</t>
        </is>
      </c>
      <c r="G51" s="4" t="n">
        <v>143.28</v>
      </c>
    </row>
    <row r="52">
      <c r="A52" s="6" t="inlineStr">
        <is>
          <t>24002 - FORMENTERA 14, JUANMA</t>
        </is>
      </c>
      <c r="B52" s="6" t="inlineStr">
        <is>
          <t>26/131</t>
        </is>
      </c>
      <c r="C52" s="6" t="inlineStr">
        <is>
          <t>13/02/2026</t>
        </is>
      </c>
      <c r="D52" s="6" t="inlineStr">
        <is>
          <t>MALLAZO IMPRESO</t>
        </is>
      </c>
      <c r="E52" s="6" t="inlineStr">
        <is>
          <t>FERRALLAS MONFORTE DEL CID SL.</t>
        </is>
      </c>
      <c r="F52" s="6" t="inlineStr">
        <is>
          <t>IMPUTADO</t>
        </is>
      </c>
      <c r="G52" s="4" t="n">
        <v>118.8</v>
      </c>
    </row>
    <row r="53">
      <c r="A53" s="6" t="inlineStr">
        <is>
          <t>24002 - FORMENTERA 14, JUANMA</t>
        </is>
      </c>
      <c r="B53" s="6" t="inlineStr">
        <is>
          <t>A-26/0000279</t>
        </is>
      </c>
      <c r="C53" s="6" t="inlineStr">
        <is>
          <t>31/01/2026</t>
        </is>
      </c>
      <c r="D53" s="6" t="inlineStr">
        <is>
          <t>MATERIAL VARIO</t>
        </is>
      </c>
      <c r="E53" s="6" t="inlineStr">
        <is>
          <t>CONSYDECOR SL</t>
        </is>
      </c>
      <c r="F53" s="6" t="inlineStr">
        <is>
          <t>IMPUTADO</t>
        </is>
      </c>
      <c r="G53" s="4" t="n">
        <v>84.31999999999999</v>
      </c>
    </row>
    <row r="54">
      <c r="A54" s="6" t="inlineStr">
        <is>
          <t>24002 - FORMENTERA 14, JUANMA</t>
        </is>
      </c>
      <c r="B54" s="6" t="inlineStr">
        <is>
          <t>F26/0235</t>
        </is>
      </c>
      <c r="C54" s="6" t="inlineStr">
        <is>
          <t>02/04/2026</t>
        </is>
      </c>
      <c r="D54" s="6" t="inlineStr">
        <is>
          <t>VARIOS JARDIN</t>
        </is>
      </c>
      <c r="E54" s="6" t="inlineStr">
        <is>
          <t>MARIA DOLORES ALDEGUER CANO</t>
        </is>
      </c>
      <c r="F54" s="6" t="inlineStr">
        <is>
          <t>IMPUTADO</t>
        </is>
      </c>
      <c r="G54" s="4" t="n">
        <v>74.7</v>
      </c>
    </row>
    <row r="55">
      <c r="A55" s="6" t="inlineStr">
        <is>
          <t>24002 - FORMENTERA 14, JUANMA</t>
        </is>
      </c>
      <c r="B55" s="6" t="inlineStr">
        <is>
          <t>FCO-0014226-00002</t>
        </is>
      </c>
      <c r="C55" s="6" t="inlineStr">
        <is>
          <t>03/02/2026</t>
        </is>
      </c>
      <c r="D55" s="6" t="inlineStr">
        <is>
          <t>ARQUETA</t>
        </is>
      </c>
      <c r="E55" s="6" t="inlineStr">
        <is>
          <t>SANIPLAST SOLUCIONES SOSTENIBLES DEL AGUA SL</t>
        </is>
      </c>
      <c r="F55" s="6" t="inlineStr">
        <is>
          <t>IMPUTADO</t>
        </is>
      </c>
      <c r="G55" s="4" t="n">
        <v>60.71</v>
      </c>
    </row>
    <row r="56">
      <c r="A56" s="6" t="inlineStr">
        <is>
          <t>24002 - FORMENTERA 14, JUANMA</t>
        </is>
      </c>
      <c r="B56" s="6" t="inlineStr">
        <is>
          <t>249</t>
        </is>
      </c>
      <c r="C56" s="6" t="inlineStr">
        <is>
          <t>23/01/2026</t>
        </is>
      </c>
      <c r="D56" s="6" t="inlineStr">
        <is>
          <t>PINTURA</t>
        </is>
      </c>
      <c r="E56" s="6" t="inlineStr">
        <is>
          <t>DECOBRIC SANZ SL</t>
        </is>
      </c>
      <c r="F56" s="6" t="inlineStr">
        <is>
          <t>IMPUTADO</t>
        </is>
      </c>
      <c r="G56" s="4" t="n">
        <v>40.79</v>
      </c>
    </row>
    <row r="57">
      <c r="A57" s="6" t="inlineStr">
        <is>
          <t>24002 - FORMENTERA 14, JUANMA</t>
        </is>
      </c>
      <c r="B57" s="6" t="inlineStr">
        <is>
          <t>A/116</t>
        </is>
      </c>
      <c r="C57" s="6" t="inlineStr">
        <is>
          <t>21/01/2026</t>
        </is>
      </c>
      <c r="D57" s="6" t="inlineStr">
        <is>
          <t>CAPAZOS PVC NEGRO</t>
        </is>
      </c>
      <c r="E57" s="6" t="inlineStr"/>
      <c r="F57" s="6" t="inlineStr">
        <is>
          <t>IMPUTADO</t>
        </is>
      </c>
      <c r="G57" s="4" t="n">
        <v>19.59</v>
      </c>
    </row>
    <row r="58">
      <c r="A58" s="6" t="inlineStr">
        <is>
          <t>24002 - FORMENTERA 14, JUANMA</t>
        </is>
      </c>
      <c r="B58" s="6" t="inlineStr">
        <is>
          <t>TPV26-02100</t>
        </is>
      </c>
      <c r="C58" s="6" t="inlineStr">
        <is>
          <t>26/03/2026</t>
        </is>
      </c>
      <c r="D58" s="6" t="inlineStr">
        <is>
          <t>TORNILLERIA ARQUETAS</t>
        </is>
      </c>
      <c r="E58" s="6" t="inlineStr">
        <is>
          <t>SUMINISTROS INDUSTRIALES FARELL SA</t>
        </is>
      </c>
      <c r="F58" s="6" t="inlineStr">
        <is>
          <t>IMPUTADO</t>
        </is>
      </c>
      <c r="G58" s="4" t="n">
        <v>10.39</v>
      </c>
    </row>
    <row r="59">
      <c r="A59" s="6" t="inlineStr">
        <is>
          <t>24002 - FORMENTERA 14, JUANMA</t>
        </is>
      </c>
      <c r="B59" s="6" t="inlineStr">
        <is>
          <t>021-0003-170093</t>
        </is>
      </c>
      <c r="C59" s="6" t="inlineStr">
        <is>
          <t>26/03/2026</t>
        </is>
      </c>
      <c r="D59" s="6" t="inlineStr">
        <is>
          <t>MATERIAL #albañileria</t>
        </is>
      </c>
      <c r="E59" s="6" t="inlineStr">
        <is>
          <t>LEROY MERLIN ESPAÑA SL</t>
        </is>
      </c>
      <c r="F59" s="6" t="inlineStr">
        <is>
          <t>IMPUTADO</t>
        </is>
      </c>
      <c r="G59" s="4" t="n">
        <v>9.369999999999999</v>
      </c>
    </row>
    <row r="60">
      <c r="A60" s="6" t="inlineStr">
        <is>
          <t>24008 - OBRA C/HUERTO CAPUCHINOS, MURCIA (COLEGIO MAYOR)</t>
        </is>
      </c>
      <c r="B60" s="6" t="inlineStr">
        <is>
          <t>026-0001-416342</t>
        </is>
      </c>
      <c r="C60" s="6" t="inlineStr">
        <is>
          <t>30/01/2026</t>
        </is>
      </c>
      <c r="D60" s="6" t="inlineStr">
        <is>
          <t>MATERIAL VARIO</t>
        </is>
      </c>
      <c r="E60" s="6" t="inlineStr">
        <is>
          <t>BRICOLAJE BRICOMAN SLU</t>
        </is>
      </c>
      <c r="F60" s="6" t="inlineStr">
        <is>
          <t>SIN IMPUTAR</t>
        </is>
      </c>
      <c r="G60" s="4" t="n">
        <v>67.55</v>
      </c>
    </row>
    <row r="61">
      <c r="A61" s="6" t="inlineStr">
        <is>
          <t>24009 - FORMENTERA 12, JOAQUIN</t>
        </is>
      </c>
      <c r="B61" s="6" t="inlineStr">
        <is>
          <t>105197</t>
        </is>
      </c>
      <c r="C61" s="6" t="inlineStr">
        <is>
          <t>10/03/2026</t>
        </is>
      </c>
      <c r="D61" s="6" t="inlineStr">
        <is>
          <t>PRESUPUESTO 105197</t>
        </is>
      </c>
      <c r="E61" s="6" t="inlineStr">
        <is>
          <t>SALTOKI ELCHE SL.</t>
        </is>
      </c>
      <c r="F61" s="6" t="inlineStr">
        <is>
          <t>IMPUTADO</t>
        </is>
      </c>
      <c r="G61" s="4" t="n">
        <v>30088.56</v>
      </c>
    </row>
    <row r="62">
      <c r="A62" s="6" t="inlineStr">
        <is>
          <t>24009 - FORMENTERA 12, JOAQUIN</t>
        </is>
      </c>
      <c r="B62" s="6" t="inlineStr">
        <is>
          <t>2026-68</t>
        </is>
      </c>
      <c r="C62" s="6" t="inlineStr">
        <is>
          <t>17/07/2026</t>
        </is>
      </c>
      <c r="D62" s="6" t="inlineStr">
        <is>
          <t>VENTANAS-ESTORES-PUERTA SECCIONAL</t>
        </is>
      </c>
      <c r="E62" s="6" t="inlineStr">
        <is>
          <t>ALEJANDRO CUTILLAS CAÑABATE</t>
        </is>
      </c>
      <c r="F62" s="6" t="inlineStr">
        <is>
          <t>IMPUTADO</t>
        </is>
      </c>
      <c r="G62" s="4" t="n">
        <v>20675.8</v>
      </c>
    </row>
    <row r="63">
      <c r="A63" s="6" t="inlineStr">
        <is>
          <t>24009 - FORMENTERA 12, JOAQUIN</t>
        </is>
      </c>
      <c r="B63" s="6" t="inlineStr">
        <is>
          <t>2026/36</t>
        </is>
      </c>
      <c r="C63" s="6" t="inlineStr">
        <is>
          <t>06/04/2026</t>
        </is>
      </c>
      <c r="D63" s="6" t="inlineStr">
        <is>
          <t>PAGO 50¬ VENTANAS #ventanas/cristales</t>
        </is>
      </c>
      <c r="E63" s="6" t="inlineStr">
        <is>
          <t>ALEJANDRO CUTILLAS CAÑABATE</t>
        </is>
      </c>
      <c r="F63" s="6" t="inlineStr">
        <is>
          <t>IMPUTADO</t>
        </is>
      </c>
      <c r="G63" s="4" t="n">
        <v>13268.27</v>
      </c>
    </row>
    <row r="64">
      <c r="A64" s="6" t="inlineStr">
        <is>
          <t>24009 - FORMENTERA 12, JOAQUIN</t>
        </is>
      </c>
      <c r="B64" s="6" t="inlineStr">
        <is>
          <t>34807</t>
        </is>
      </c>
      <c r="C64" s="6" t="inlineStr">
        <is>
          <t>30/05/2026</t>
        </is>
      </c>
      <c r="D64" s="6" t="inlineStr">
        <is>
          <t>ALICATADO Y WC</t>
        </is>
      </c>
      <c r="E64" s="6" t="inlineStr">
        <is>
          <t>SALTOKI ALICANTE SL.</t>
        </is>
      </c>
      <c r="F64" s="6" t="inlineStr">
        <is>
          <t>IMPUTADO</t>
        </is>
      </c>
      <c r="G64" s="4" t="n">
        <v>9947.950000000001</v>
      </c>
    </row>
    <row r="65">
      <c r="A65" s="6" t="inlineStr">
        <is>
          <t>24009 - FORMENTERA 12, JOAQUIN</t>
        </is>
      </c>
      <c r="B65" s="6" t="inlineStr">
        <is>
          <t>6255</t>
        </is>
      </c>
      <c r="C65" s="6" t="inlineStr">
        <is>
          <t>28/03/2026</t>
        </is>
      </c>
      <c r="D65" s="6" t="inlineStr">
        <is>
          <t>GRIFERIA</t>
        </is>
      </c>
      <c r="E65" s="6" t="inlineStr">
        <is>
          <t>SALTOKI ELCHE SL.</t>
        </is>
      </c>
      <c r="F65" s="6" t="inlineStr">
        <is>
          <t>IMPUTADO</t>
        </is>
      </c>
      <c r="G65" s="4" t="n">
        <v>8750.07</v>
      </c>
    </row>
    <row r="66">
      <c r="A66" s="6" t="inlineStr">
        <is>
          <t>24009 - FORMENTERA 12, JOAQUIN</t>
        </is>
      </c>
      <c r="B66" s="6" t="inlineStr">
        <is>
          <t>42070</t>
        </is>
      </c>
      <c r="C66" s="6" t="inlineStr">
        <is>
          <t>27/06/2026</t>
        </is>
      </c>
      <c r="D66" s="6" t="inlineStr">
        <is>
          <t>ALBARANES ALICANTE</t>
        </is>
      </c>
      <c r="E66" s="6" t="inlineStr">
        <is>
          <t>SALTOKI ALICANTE SL.</t>
        </is>
      </c>
      <c r="F66" s="6" t="inlineStr">
        <is>
          <t>IMPUTADO</t>
        </is>
      </c>
      <c r="G66" s="4" t="n">
        <v>6084.74</v>
      </c>
    </row>
    <row r="67">
      <c r="A67" s="6" t="inlineStr">
        <is>
          <t>24009 - FORMENTERA 12, JOAQUIN</t>
        </is>
      </c>
      <c r="B67" s="6" t="inlineStr">
        <is>
          <t>8141</t>
        </is>
      </c>
      <c r="C67" s="6" t="inlineStr">
        <is>
          <t>18/04/2026</t>
        </is>
      </c>
      <c r="D67" s="6" t="inlineStr">
        <is>
          <t>PISO CASA PORCELANICO #albañileria/suministro piso</t>
        </is>
      </c>
      <c r="E67" s="6" t="inlineStr">
        <is>
          <t>SALTOKI ELCHE SL.</t>
        </is>
      </c>
      <c r="F67" s="6" t="inlineStr">
        <is>
          <t>IMPUTADO</t>
        </is>
      </c>
      <c r="G67" s="4" t="n">
        <v>6000.19</v>
      </c>
    </row>
    <row r="68">
      <c r="A68" s="6" t="inlineStr">
        <is>
          <t>24009 - FORMENTERA 12, JOAQUIN</t>
        </is>
      </c>
      <c r="B68" s="6" t="inlineStr">
        <is>
          <t>F2600000012</t>
        </is>
      </c>
      <c r="C68" s="6" t="inlineStr">
        <is>
          <t>23/02/2026</t>
        </is>
      </c>
      <c r="D68" s="6" t="inlineStr">
        <is>
          <t>ELECTRICIDAD #ELECTRICIDAD</t>
        </is>
      </c>
      <c r="E68" s="6" t="inlineStr"/>
      <c r="F68" s="6" t="inlineStr">
        <is>
          <t>IMPUTADO</t>
        </is>
      </c>
      <c r="G68" s="4" t="n">
        <v>5700</v>
      </c>
    </row>
    <row r="69">
      <c r="A69" s="6" t="inlineStr">
        <is>
          <t>24009 - FORMENTERA 12, JOAQUIN</t>
        </is>
      </c>
      <c r="B69" s="6" t="inlineStr">
        <is>
          <t>77/2026</t>
        </is>
      </c>
      <c r="C69" s="6" t="inlineStr">
        <is>
          <t>10/07/2026</t>
        </is>
      </c>
      <c r="D69" s="6" t="inlineStr">
        <is>
          <t>TECHOS PLADUR</t>
        </is>
      </c>
      <c r="E69" s="6" t="inlineStr">
        <is>
          <t>PLADINTER OBRAS Y SERVICIOS SL</t>
        </is>
      </c>
      <c r="F69" s="6" t="inlineStr">
        <is>
          <t>IMPUTADO</t>
        </is>
      </c>
      <c r="G69" s="4" t="n">
        <v>4168.81</v>
      </c>
    </row>
    <row r="70">
      <c r="A70" s="6" t="inlineStr">
        <is>
          <t>24009 - FORMENTERA 12, JOAQUIN</t>
        </is>
      </c>
      <c r="B70" s="6" t="inlineStr">
        <is>
          <t>31</t>
        </is>
      </c>
      <c r="C70" s="6" t="inlineStr">
        <is>
          <t>08/07/2026</t>
        </is>
      </c>
      <c r="D70" s="6" t="inlineStr">
        <is>
          <t>HORMIGON IMPRESO</t>
        </is>
      </c>
      <c r="E70" s="6" t="inlineStr">
        <is>
          <t>PAVIMPRESOS FORTUNA MMXVIII C.B.</t>
        </is>
      </c>
      <c r="F70" s="6" t="inlineStr">
        <is>
          <t>IMPUTADO</t>
        </is>
      </c>
      <c r="G70" s="4" t="n">
        <v>4000</v>
      </c>
    </row>
    <row r="71">
      <c r="A71" s="6" t="inlineStr">
        <is>
          <t>24009 - FORMENTERA 12, JOAQUIN</t>
        </is>
      </c>
      <c r="B71" s="6" t="inlineStr">
        <is>
          <t>2026-46</t>
        </is>
      </c>
      <c r="C71" s="6" t="inlineStr">
        <is>
          <t>18/05/2026</t>
        </is>
      </c>
      <c r="D71" s="6" t="inlineStr">
        <is>
          <t>ESTORES</t>
        </is>
      </c>
      <c r="E71" s="6" t="inlineStr">
        <is>
          <t>ALEJANDRO CUTILLAS CAÑABATE</t>
        </is>
      </c>
      <c r="F71" s="6" t="inlineStr">
        <is>
          <t>IMPUTADO</t>
        </is>
      </c>
      <c r="G71" s="4" t="n">
        <v>3983.17</v>
      </c>
    </row>
    <row r="72">
      <c r="A72" s="6" t="inlineStr">
        <is>
          <t>24009 - FORMENTERA 12, JOAQUIN</t>
        </is>
      </c>
      <c r="B72" s="6" t="inlineStr">
        <is>
          <t>2026-69</t>
        </is>
      </c>
      <c r="C72" s="6" t="inlineStr">
        <is>
          <t>17/07/2026</t>
        </is>
      </c>
      <c r="D72" s="6" t="inlineStr">
        <is>
          <t>PUERTA CORREDERA/VALLA METALICA/PUERTA PEATONAL</t>
        </is>
      </c>
      <c r="E72" s="6" t="inlineStr">
        <is>
          <t>ALEJANDRO CUTILLAS CAÑABATE</t>
        </is>
      </c>
      <c r="F72" s="6" t="inlineStr">
        <is>
          <t>IMPUTADO</t>
        </is>
      </c>
      <c r="G72" s="4" t="n">
        <v>3983.16</v>
      </c>
    </row>
    <row r="73">
      <c r="A73" s="6" t="inlineStr">
        <is>
          <t>24009 - FORMENTERA 12, JOAQUIN</t>
        </is>
      </c>
      <c r="B73" s="6" t="inlineStr">
        <is>
          <t>A-26/0000576</t>
        </is>
      </c>
      <c r="C73" s="6" t="inlineStr">
        <is>
          <t>29/06/2026</t>
        </is>
      </c>
      <c r="D73" s="6" t="inlineStr">
        <is>
          <t>MUEBLES BAÑO</t>
        </is>
      </c>
      <c r="E73" s="6" t="inlineStr">
        <is>
          <t>BANOS BARCOS S.L.</t>
        </is>
      </c>
      <c r="F73" s="6" t="inlineStr">
        <is>
          <t>IMPUTADO</t>
        </is>
      </c>
      <c r="G73" s="4" t="n">
        <v>3983</v>
      </c>
    </row>
    <row r="74">
      <c r="A74" s="6" t="inlineStr">
        <is>
          <t>24009 - FORMENTERA 12, JOAQUIN</t>
        </is>
      </c>
      <c r="B74" s="6" t="inlineStr">
        <is>
          <t>98-3/2026</t>
        </is>
      </c>
      <c r="C74" s="6" t="inlineStr">
        <is>
          <t>05/08/2026</t>
        </is>
      </c>
      <c r="D74" s="6" t="inlineStr">
        <is>
          <t>PINTORES</t>
        </is>
      </c>
      <c r="E74" s="6" t="inlineStr">
        <is>
          <t>PROYECTO PATIOS BLANCOS SL.</t>
        </is>
      </c>
      <c r="F74" s="6" t="inlineStr">
        <is>
          <t>IMPUTADO</t>
        </is>
      </c>
      <c r="G74" s="4" t="n">
        <v>3300</v>
      </c>
    </row>
    <row r="75">
      <c r="A75" s="6" t="inlineStr">
        <is>
          <t>24009 - FORMENTERA 12, JOAQUIN</t>
        </is>
      </c>
      <c r="B75" s="6" t="inlineStr">
        <is>
          <t>2026-70</t>
        </is>
      </c>
      <c r="C75" s="6" t="inlineStr">
        <is>
          <t>17/07/2026</t>
        </is>
      </c>
      <c r="D75" s="6" t="inlineStr">
        <is>
          <t>MOSQUITERAS</t>
        </is>
      </c>
      <c r="E75" s="6" t="inlineStr">
        <is>
          <t>ALEJANDRO CUTILLAS CAÑABATE</t>
        </is>
      </c>
      <c r="F75" s="6" t="inlineStr">
        <is>
          <t>IMPUTADO</t>
        </is>
      </c>
      <c r="G75" s="4" t="n">
        <v>3197.92</v>
      </c>
    </row>
    <row r="76">
      <c r="A76" s="6" t="inlineStr">
        <is>
          <t>24009 - FORMENTERA 12, JOAQUIN</t>
        </is>
      </c>
      <c r="B76" s="6" t="inlineStr">
        <is>
          <t>26/2384</t>
        </is>
      </c>
      <c r="C76" s="6" t="inlineStr">
        <is>
          <t>15/06/2026</t>
        </is>
      </c>
      <c r="D76" s="6" t="inlineStr">
        <is>
          <t>ROLLO CARTON / CINTA KREEP / BOMBAS AIRELESS WERKU</t>
        </is>
      </c>
      <c r="E76" s="6" t="inlineStr">
        <is>
          <t>SANZ BUILDING 2000 SL</t>
        </is>
      </c>
      <c r="F76" s="6" t="inlineStr">
        <is>
          <t>IMPUTADO</t>
        </is>
      </c>
      <c r="G76" s="4" t="n">
        <v>3115.28</v>
      </c>
    </row>
    <row r="77">
      <c r="A77" s="6" t="inlineStr">
        <is>
          <t>24009 - FORMENTERA 12, JOAQUIN</t>
        </is>
      </c>
      <c r="B77" s="6" t="inlineStr">
        <is>
          <t>605458</t>
        </is>
      </c>
      <c r="C77" s="6" t="inlineStr">
        <is>
          <t>10/02/2026</t>
        </is>
      </c>
      <c r="D77" s="6" t="inlineStr">
        <is>
          <t>PRESUPUESTO Nº605458</t>
        </is>
      </c>
      <c r="E77" s="6" t="inlineStr">
        <is>
          <t>LEROY MERLIN ESPAÑA SL</t>
        </is>
      </c>
      <c r="F77" s="6" t="inlineStr">
        <is>
          <t>IMPUTADO</t>
        </is>
      </c>
      <c r="G77" s="4" t="n">
        <v>3063.04</v>
      </c>
    </row>
    <row r="78">
      <c r="A78" s="6" t="inlineStr">
        <is>
          <t>24009 - FORMENTERA 12, JOAQUIN</t>
        </is>
      </c>
      <c r="B78" s="6" t="inlineStr">
        <is>
          <t>F26 00000045</t>
        </is>
      </c>
      <c r="C78" s="6" t="inlineStr">
        <is>
          <t>01/07/2026</t>
        </is>
      </c>
      <c r="D78" s="6" t="inlineStr">
        <is>
          <t>ELECTRICIDAD</t>
        </is>
      </c>
      <c r="E78" s="6" t="inlineStr">
        <is>
          <t>INSTALACIONES ELECTRICAS FERRIS, O.E.</t>
        </is>
      </c>
      <c r="F78" s="6" t="inlineStr">
        <is>
          <t>IMPUTADO</t>
        </is>
      </c>
      <c r="G78" s="4" t="n">
        <v>2900</v>
      </c>
    </row>
    <row r="79">
      <c r="A79" s="6" t="inlineStr">
        <is>
          <t>24009 - FORMENTERA 12, JOAQUIN</t>
        </is>
      </c>
      <c r="B79" s="6" t="inlineStr">
        <is>
          <t>11682</t>
        </is>
      </c>
      <c r="C79" s="6" t="inlineStr">
        <is>
          <t>30/05/2026</t>
        </is>
      </c>
      <c r="D79" s="6" t="inlineStr">
        <is>
          <t>ALICATADO</t>
        </is>
      </c>
      <c r="E79" s="6" t="inlineStr">
        <is>
          <t>SALTOKI ELCHE SL.</t>
        </is>
      </c>
      <c r="F79" s="6" t="inlineStr">
        <is>
          <t>IMPUTADO</t>
        </is>
      </c>
      <c r="G79" s="4" t="n">
        <v>2752.91</v>
      </c>
    </row>
    <row r="80">
      <c r="A80" s="6" t="inlineStr">
        <is>
          <t>24009 - FORMENTERA 12, JOAQUIN</t>
        </is>
      </c>
      <c r="B80" s="6" t="inlineStr">
        <is>
          <t>F26-053</t>
        </is>
      </c>
      <c r="C80" s="6" t="inlineStr">
        <is>
          <t>03/06/2026</t>
        </is>
      </c>
      <c r="D80" s="6" t="inlineStr">
        <is>
          <t>RODAPIÉ</t>
        </is>
      </c>
      <c r="E80" s="6" t="inlineStr">
        <is>
          <t>MARMISLAB SL.</t>
        </is>
      </c>
      <c r="F80" s="6" t="inlineStr">
        <is>
          <t>IMPUTADO</t>
        </is>
      </c>
      <c r="G80" s="4" t="n">
        <v>2700</v>
      </c>
    </row>
    <row r="81">
      <c r="A81" s="6" t="inlineStr">
        <is>
          <t>24009 - FORMENTERA 12, JOAQUIN</t>
        </is>
      </c>
      <c r="B81" s="6" t="inlineStr">
        <is>
          <t>G26.084</t>
        </is>
      </c>
      <c r="C81" s="6" t="inlineStr">
        <is>
          <t>30/06/2026</t>
        </is>
      </c>
      <c r="D81" s="6" t="inlineStr">
        <is>
          <t>GRUA</t>
        </is>
      </c>
      <c r="E81" s="6" t="inlineStr">
        <is>
          <t>GRUAS Y MAQUINARIA PETREL SL</t>
        </is>
      </c>
      <c r="F81" s="6" t="inlineStr">
        <is>
          <t>IMPUTADO</t>
        </is>
      </c>
      <c r="G81" s="4" t="n">
        <v>2600</v>
      </c>
    </row>
    <row r="82">
      <c r="A82" s="6" t="inlineStr">
        <is>
          <t>24009 - FORMENTERA 12, JOAQUIN</t>
        </is>
      </c>
      <c r="B82" s="6" t="inlineStr">
        <is>
          <t>A-26/0000066</t>
        </is>
      </c>
      <c r="C82" s="6" t="inlineStr">
        <is>
          <t>15/01/2026</t>
        </is>
      </c>
      <c r="D82" s="6" t="inlineStr">
        <is>
          <t>MATERIAL VARIO</t>
        </is>
      </c>
      <c r="E82" s="6" t="inlineStr">
        <is>
          <t>CONSYDECOR SL</t>
        </is>
      </c>
      <c r="F82" s="6" t="inlineStr">
        <is>
          <t>IMPUTADO</t>
        </is>
      </c>
      <c r="G82" s="4" t="n">
        <v>2094.54</v>
      </c>
    </row>
    <row r="83">
      <c r="A83" s="6" t="inlineStr">
        <is>
          <t>24009 - FORMENTERA 12, JOAQUIN</t>
        </is>
      </c>
      <c r="B83" s="6" t="inlineStr">
        <is>
          <t>7200418723</t>
        </is>
      </c>
      <c r="C83" s="6" t="inlineStr">
        <is>
          <t>18/05/2026</t>
        </is>
      </c>
      <c r="D83" s="6" t="inlineStr">
        <is>
          <t>PLADUR</t>
        </is>
      </c>
      <c r="E83" s="6" t="inlineStr">
        <is>
          <t>SAINT GOBAIN IDAPLAC SL</t>
        </is>
      </c>
      <c r="F83" s="6" t="inlineStr">
        <is>
          <t>IMPUTADO</t>
        </is>
      </c>
      <c r="G83" s="4" t="n">
        <v>2081.11</v>
      </c>
    </row>
    <row r="84">
      <c r="A84" s="6" t="inlineStr">
        <is>
          <t>24009 - FORMENTERA 12, JOAQUIN</t>
        </is>
      </c>
      <c r="B84" s="6" t="inlineStr">
        <is>
          <t>43</t>
        </is>
      </c>
      <c r="C84" s="6" t="inlineStr">
        <is>
          <t>23/08/2026</t>
        </is>
      </c>
      <c r="D84" s="6" t="inlineStr">
        <is>
          <t>RESINA GARAJE</t>
        </is>
      </c>
      <c r="E84" s="6" t="inlineStr">
        <is>
          <t>VICTOR MANUEL EGEA BARNEO</t>
        </is>
      </c>
      <c r="F84" s="6" t="inlineStr">
        <is>
          <t>IMPUTADO</t>
        </is>
      </c>
      <c r="G84" s="4" t="n">
        <v>1860</v>
      </c>
    </row>
    <row r="85">
      <c r="A85" s="6" t="inlineStr">
        <is>
          <t>24009 - FORMENTERA 12, JOAQUIN</t>
        </is>
      </c>
      <c r="B85" s="6" t="inlineStr">
        <is>
          <t>A-26/0001515</t>
        </is>
      </c>
      <c r="C85" s="6" t="inlineStr">
        <is>
          <t>30/04/2026</t>
        </is>
      </c>
      <c r="D85" s="6" t="inlineStr">
        <is>
          <t>MATERIAL OBRA</t>
        </is>
      </c>
      <c r="E85" s="6" t="inlineStr">
        <is>
          <t>CONSYDECOR SL</t>
        </is>
      </c>
      <c r="F85" s="6" t="inlineStr">
        <is>
          <t>IMPUTADO</t>
        </is>
      </c>
      <c r="G85" s="4" t="n">
        <v>1855.94</v>
      </c>
    </row>
    <row r="86">
      <c r="A86" s="6" t="inlineStr">
        <is>
          <t>24009 - FORMENTERA 12, JOAQUIN</t>
        </is>
      </c>
      <c r="B86" s="6" t="inlineStr">
        <is>
          <t>A-26/0000182</t>
        </is>
      </c>
      <c r="C86" s="6" t="inlineStr">
        <is>
          <t>23/01/2026</t>
        </is>
      </c>
      <c r="D86" s="6" t="inlineStr">
        <is>
          <t>YTONG</t>
        </is>
      </c>
      <c r="E86" s="6" t="inlineStr">
        <is>
          <t>CONSYDECOR SL</t>
        </is>
      </c>
      <c r="F86" s="6" t="inlineStr">
        <is>
          <t>IMPUTADO</t>
        </is>
      </c>
      <c r="G86" s="4" t="n">
        <v>1855</v>
      </c>
    </row>
    <row r="87">
      <c r="A87" s="6" t="inlineStr">
        <is>
          <t>24009 - FORMENTERA 12, JOAQUIN</t>
        </is>
      </c>
      <c r="B87" s="6" t="inlineStr">
        <is>
          <t>A-26/0002196</t>
        </is>
      </c>
      <c r="C87" s="6" t="inlineStr">
        <is>
          <t>15/06/2026</t>
        </is>
      </c>
      <c r="D87" s="6" t="inlineStr">
        <is>
          <t>MATERIAL OBRA</t>
        </is>
      </c>
      <c r="E87" s="6" t="inlineStr">
        <is>
          <t>CONSYDECOR SL</t>
        </is>
      </c>
      <c r="F87" s="6" t="inlineStr">
        <is>
          <t>IMPUTADO</t>
        </is>
      </c>
      <c r="G87" s="4" t="n">
        <v>1511.37</v>
      </c>
    </row>
    <row r="88">
      <c r="A88" s="6" t="inlineStr">
        <is>
          <t>24009 - FORMENTERA 12, JOAQUIN</t>
        </is>
      </c>
      <c r="B88" s="6" t="inlineStr">
        <is>
          <t>7300304391</t>
        </is>
      </c>
      <c r="C88" s="6" t="inlineStr">
        <is>
          <t>03/07/2026</t>
        </is>
      </c>
      <c r="D88" s="6" t="inlineStr">
        <is>
          <t>PLADUR</t>
        </is>
      </c>
      <c r="E88" s="6" t="inlineStr">
        <is>
          <t>SAINT GOBAIN IDAPLAC SL</t>
        </is>
      </c>
      <c r="F88" s="6" t="inlineStr">
        <is>
          <t>IMPUTADO</t>
        </is>
      </c>
      <c r="G88" s="4" t="n">
        <v>1494.86</v>
      </c>
    </row>
    <row r="89">
      <c r="A89" s="6" t="inlineStr">
        <is>
          <t>24009 - FORMENTERA 12, JOAQUIN</t>
        </is>
      </c>
      <c r="B89" s="6" t="inlineStr">
        <is>
          <t>2026-72</t>
        </is>
      </c>
      <c r="C89" s="6" t="inlineStr">
        <is>
          <t>17/07/2026</t>
        </is>
      </c>
      <c r="D89" s="6" t="inlineStr">
        <is>
          <t>MAMPARA DE DUCHA CON FIJO Y PERFIL</t>
        </is>
      </c>
      <c r="E89" s="6" t="inlineStr">
        <is>
          <t>ALEJANDRO CUTILLAS CAÑABATE</t>
        </is>
      </c>
      <c r="F89" s="6" t="inlineStr">
        <is>
          <t>IMPUTADO</t>
        </is>
      </c>
      <c r="G89" s="4" t="n">
        <v>1377.1</v>
      </c>
    </row>
    <row r="90">
      <c r="A90" s="6" t="inlineStr">
        <is>
          <t>24009 - FORMENTERA 12, JOAQUIN</t>
        </is>
      </c>
      <c r="B90" s="6" t="inlineStr">
        <is>
          <t>A-26/0001348</t>
        </is>
      </c>
      <c r="C90" s="6" t="inlineStr">
        <is>
          <t>15/04/2026</t>
        </is>
      </c>
      <c r="D90" s="6" t="inlineStr">
        <is>
          <t>MATERIAL OBRA #albañileria</t>
        </is>
      </c>
      <c r="E90" s="6" t="inlineStr">
        <is>
          <t>CONSYDECOR SL</t>
        </is>
      </c>
      <c r="F90" s="6" t="inlineStr">
        <is>
          <t>IMPUTADO</t>
        </is>
      </c>
      <c r="G90" s="4" t="n">
        <v>1288.51</v>
      </c>
    </row>
    <row r="91">
      <c r="A91" s="6" t="inlineStr">
        <is>
          <t>24009 - FORMENTERA 12, JOAQUIN</t>
        </is>
      </c>
      <c r="B91" s="6" t="inlineStr">
        <is>
          <t>26/2881</t>
        </is>
      </c>
      <c r="C91" s="6" t="inlineStr">
        <is>
          <t>15/07/2026</t>
        </is>
      </c>
      <c r="D91" s="6" t="inlineStr">
        <is>
          <t>PINTURA</t>
        </is>
      </c>
      <c r="E91" s="6" t="inlineStr">
        <is>
          <t>SANZ BUILDING 2000 SL</t>
        </is>
      </c>
      <c r="F91" s="6" t="inlineStr">
        <is>
          <t>IMPUTADO</t>
        </is>
      </c>
      <c r="G91" s="4" t="n">
        <v>1280.09</v>
      </c>
    </row>
    <row r="92">
      <c r="A92" s="6" t="inlineStr">
        <is>
          <t>24009 - FORMENTERA 12, JOAQUIN</t>
        </is>
      </c>
      <c r="B92" s="6" t="inlineStr">
        <is>
          <t>39</t>
        </is>
      </c>
      <c r="C92" s="6" t="inlineStr">
        <is>
          <t>27/08/2026</t>
        </is>
      </c>
      <c r="D92" s="6" t="inlineStr">
        <is>
          <t>HORMIGON IMPRESO</t>
        </is>
      </c>
      <c r="E92" s="6" t="inlineStr">
        <is>
          <t>PAVIMPRESOS FORTUNA MMXVIII C.B.</t>
        </is>
      </c>
      <c r="F92" s="6" t="inlineStr">
        <is>
          <t>IMPUTADO</t>
        </is>
      </c>
      <c r="G92" s="4" t="n">
        <v>1257</v>
      </c>
    </row>
    <row r="93">
      <c r="A93" s="6" t="inlineStr">
        <is>
          <t>24009 - FORMENTERA 12, JOAQUIN</t>
        </is>
      </c>
      <c r="B93" s="6" t="inlineStr">
        <is>
          <t>F1-1-02128</t>
        </is>
      </c>
      <c r="C93" s="6" t="inlineStr">
        <is>
          <t>08/07/2026</t>
        </is>
      </c>
      <c r="D93" s="6" t="inlineStr">
        <is>
          <t>VALLA PARCELA</t>
        </is>
      </c>
      <c r="E93" s="6" t="inlineStr">
        <is>
          <t>MIRETE MALLAS METALICAS SA</t>
        </is>
      </c>
      <c r="F93" s="6" t="inlineStr">
        <is>
          <t>IMPUTADO</t>
        </is>
      </c>
      <c r="G93" s="4" t="n">
        <v>1101.6</v>
      </c>
    </row>
    <row r="94">
      <c r="A94" s="6" t="inlineStr">
        <is>
          <t>24009 - FORMENTERA 12, JOAQUIN</t>
        </is>
      </c>
      <c r="B94" s="6" t="inlineStr">
        <is>
          <t>420</t>
        </is>
      </c>
      <c r="C94" s="6" t="inlineStr">
        <is>
          <t>15/06/2026</t>
        </is>
      </c>
      <c r="D94" s="6" t="inlineStr">
        <is>
          <t>TABLERO FENÓLICO</t>
        </is>
      </c>
      <c r="E94" s="6" t="inlineStr">
        <is>
          <t>SIDO MADERA SL</t>
        </is>
      </c>
      <c r="F94" s="6" t="inlineStr">
        <is>
          <t>IMPUTADO</t>
        </is>
      </c>
      <c r="G94" s="4" t="n">
        <v>903.25</v>
      </c>
    </row>
    <row r="95">
      <c r="A95" s="6" t="inlineStr">
        <is>
          <t>24009 - FORMENTERA 12, JOAQUIN</t>
        </is>
      </c>
      <c r="B95" s="6" t="inlineStr">
        <is>
          <t>A-26/194</t>
        </is>
      </c>
      <c r="C95" s="6" t="inlineStr">
        <is>
          <t>15/06/2026</t>
        </is>
      </c>
      <c r="D95" s="6" t="inlineStr">
        <is>
          <t>HACER CONEXIÓN DESAGÜE</t>
        </is>
      </c>
      <c r="E95" s="6" t="inlineStr">
        <is>
          <t>CONTENEDORES Y EXCAVACIONES ASPE SL.</t>
        </is>
      </c>
      <c r="F95" s="6" t="inlineStr">
        <is>
          <t>IMPUTADO</t>
        </is>
      </c>
      <c r="G95" s="4" t="n">
        <v>804</v>
      </c>
    </row>
    <row r="96">
      <c r="A96" s="6" t="inlineStr">
        <is>
          <t>24009 - FORMENTERA 12, JOAQUIN</t>
        </is>
      </c>
      <c r="B96" s="6" t="inlineStr">
        <is>
          <t>34808</t>
        </is>
      </c>
      <c r="C96" s="6" t="inlineStr">
        <is>
          <t>30/05/2026</t>
        </is>
      </c>
      <c r="D96" s="6" t="inlineStr">
        <is>
          <t>REJILLA OCULTA</t>
        </is>
      </c>
      <c r="E96" s="6" t="inlineStr">
        <is>
          <t>SALTOKI ALICANTE SL.</t>
        </is>
      </c>
      <c r="F96" s="6" t="inlineStr">
        <is>
          <t>IMPUTADO</t>
        </is>
      </c>
      <c r="G96" s="4" t="n">
        <v>789.2</v>
      </c>
    </row>
    <row r="97">
      <c r="A97" s="6" t="inlineStr">
        <is>
          <t>24009 - FORMENTERA 12, JOAQUIN</t>
        </is>
      </c>
      <c r="B97" s="6" t="inlineStr">
        <is>
          <t>7300299570</t>
        </is>
      </c>
      <c r="C97" s="6" t="inlineStr">
        <is>
          <t>19/06/2026</t>
        </is>
      </c>
      <c r="D97" s="6" t="inlineStr">
        <is>
          <t>PLADUR EXTERIOR</t>
        </is>
      </c>
      <c r="E97" s="6" t="inlineStr">
        <is>
          <t>SAINT GOBAIN IDAPLAC SL</t>
        </is>
      </c>
      <c r="F97" s="6" t="inlineStr">
        <is>
          <t>IMPUTADO</t>
        </is>
      </c>
      <c r="G97" s="4" t="n">
        <v>777.16</v>
      </c>
    </row>
    <row r="98">
      <c r="A98" s="6" t="inlineStr">
        <is>
          <t>24009 - FORMENTERA 12, JOAQUIN</t>
        </is>
      </c>
      <c r="B98" s="6" t="inlineStr">
        <is>
          <t>7244</t>
        </is>
      </c>
      <c r="C98" s="6" t="inlineStr">
        <is>
          <t>03/04/2026</t>
        </is>
      </c>
      <c r="D98" s="6" t="inlineStr">
        <is>
          <t>GRIFERÍA</t>
        </is>
      </c>
      <c r="E98" s="6" t="inlineStr">
        <is>
          <t>SALTOKI ELCHE SL.</t>
        </is>
      </c>
      <c r="F98" s="6" t="inlineStr">
        <is>
          <t>IMPUTADO</t>
        </is>
      </c>
      <c r="G98" s="4" t="n">
        <v>744.39</v>
      </c>
    </row>
    <row r="99">
      <c r="A99" s="6" t="inlineStr">
        <is>
          <t>24009 - FORMENTERA 12, JOAQUIN</t>
        </is>
      </c>
      <c r="B99" s="6" t="inlineStr">
        <is>
          <t>2026-32</t>
        </is>
      </c>
      <c r="C99" s="6" t="inlineStr">
        <is>
          <t>31/03/2026</t>
        </is>
      </c>
      <c r="D99" s="6" t="inlineStr">
        <is>
          <t>TUBO HIERRRO GALVANIZADO #revestimiento voladizo</t>
        </is>
      </c>
      <c r="E99" s="6" t="inlineStr">
        <is>
          <t>ALEJANDRO CUTILLAS CAÑABATE</t>
        </is>
      </c>
      <c r="F99" s="6" t="inlineStr">
        <is>
          <t>IMPUTADO</t>
        </is>
      </c>
      <c r="G99" s="4" t="n">
        <v>741.9299999999999</v>
      </c>
    </row>
    <row r="100">
      <c r="A100" s="6" t="inlineStr">
        <is>
          <t>24009 - FORMENTERA 12, JOAQUIN</t>
        </is>
      </c>
      <c r="B100" s="6" t="inlineStr">
        <is>
          <t>G26.013</t>
        </is>
      </c>
      <c r="C100" s="6" t="inlineStr">
        <is>
          <t>16/02/2026</t>
        </is>
      </c>
      <c r="D100" s="6" t="inlineStr">
        <is>
          <t>GRUA #MAQUINARIA</t>
        </is>
      </c>
      <c r="E100" s="6" t="inlineStr">
        <is>
          <t>GRUAS Y MAQUINARIA PETREL SL</t>
        </is>
      </c>
      <c r="F100" s="6" t="inlineStr">
        <is>
          <t>IMPUTADO</t>
        </is>
      </c>
      <c r="G100" s="4" t="n">
        <v>690</v>
      </c>
    </row>
    <row r="101">
      <c r="A101" s="6" t="inlineStr">
        <is>
          <t>24009 - FORMENTERA 12, JOAQUIN</t>
        </is>
      </c>
      <c r="B101" s="6" t="inlineStr">
        <is>
          <t>G26.103</t>
        </is>
      </c>
      <c r="C101" s="6" t="inlineStr">
        <is>
          <t>31/07/2026</t>
        </is>
      </c>
      <c r="D101" s="6" t="inlineStr">
        <is>
          <t>GRUA</t>
        </is>
      </c>
      <c r="E101" s="6" t="inlineStr">
        <is>
          <t>GRUAS Y MAQUINARIA PETREL SL</t>
        </is>
      </c>
      <c r="F101" s="6" t="inlineStr">
        <is>
          <t>IMPUTADO</t>
        </is>
      </c>
      <c r="G101" s="4" t="n">
        <v>650</v>
      </c>
    </row>
    <row r="102">
      <c r="A102" s="6" t="inlineStr">
        <is>
          <t>24009 - FORMENTERA 12, JOAQUIN</t>
        </is>
      </c>
      <c r="B102" s="6" t="inlineStr">
        <is>
          <t>7300319538</t>
        </is>
      </c>
      <c r="C102" s="6" t="inlineStr">
        <is>
          <t>17/08/2026</t>
        </is>
      </c>
      <c r="D102" s="6" t="inlineStr">
        <is>
          <t>WEBER FACHADA</t>
        </is>
      </c>
      <c r="E102" s="6" t="inlineStr">
        <is>
          <t>SAINT GOBAIN IDAPLAC SL</t>
        </is>
      </c>
      <c r="F102" s="6" t="inlineStr">
        <is>
          <t>IMPUTADO</t>
        </is>
      </c>
      <c r="G102" s="4" t="n">
        <v>625.24</v>
      </c>
    </row>
    <row r="103">
      <c r="A103" s="6" t="inlineStr">
        <is>
          <t>24009 - FORMENTERA 12, JOAQUIN</t>
        </is>
      </c>
      <c r="B103" s="6" t="inlineStr">
        <is>
          <t>A-26/0001739</t>
        </is>
      </c>
      <c r="C103" s="6" t="inlineStr">
        <is>
          <t>15/05/2026</t>
        </is>
      </c>
      <c r="D103" s="6" t="inlineStr">
        <is>
          <t>CEMENTO/PERFIL/ARQUETA/ESPUMA</t>
        </is>
      </c>
      <c r="E103" s="6" t="inlineStr">
        <is>
          <t>CONSYDECOR SL</t>
        </is>
      </c>
      <c r="F103" s="6" t="inlineStr">
        <is>
          <t>IMPUTADO</t>
        </is>
      </c>
      <c r="G103" s="4" t="n">
        <v>620.23</v>
      </c>
    </row>
    <row r="104">
      <c r="A104" s="6" t="inlineStr">
        <is>
          <t>24009 - FORMENTERA 12, JOAQUIN</t>
        </is>
      </c>
      <c r="B104" s="6" t="inlineStr">
        <is>
          <t>A-26/0001103</t>
        </is>
      </c>
      <c r="C104" s="6" t="inlineStr">
        <is>
          <t>31/03/2026</t>
        </is>
      </c>
      <c r="D104" s="6" t="inlineStr">
        <is>
          <t>MATERIAL #albañileria</t>
        </is>
      </c>
      <c r="E104" s="6" t="inlineStr">
        <is>
          <t>CONSYDECOR SL</t>
        </is>
      </c>
      <c r="F104" s="6" t="inlineStr">
        <is>
          <t>IMPUTADO</t>
        </is>
      </c>
      <c r="G104" s="4" t="n">
        <v>565.37</v>
      </c>
    </row>
    <row r="105">
      <c r="A105" s="6" t="inlineStr">
        <is>
          <t>24009 - FORMENTERA 12, JOAQUIN</t>
        </is>
      </c>
      <c r="B105" s="6" t="inlineStr">
        <is>
          <t>A-26/156</t>
        </is>
      </c>
      <c r="C105" s="6" t="inlineStr">
        <is>
          <t>15/05/2026</t>
        </is>
      </c>
      <c r="D105" s="6" t="inlineStr">
        <is>
          <t>CONTENEDOR</t>
        </is>
      </c>
      <c r="E105" s="6" t="inlineStr">
        <is>
          <t>CONTENEDORES Y EXCAVACIONES ASPE SL.</t>
        </is>
      </c>
      <c r="F105" s="6" t="inlineStr">
        <is>
          <t>IMPUTADO</t>
        </is>
      </c>
      <c r="G105" s="4" t="n">
        <v>550</v>
      </c>
    </row>
    <row r="106">
      <c r="A106" s="6" t="inlineStr">
        <is>
          <t>24009 - FORMENTERA 12, JOAQUIN</t>
        </is>
      </c>
      <c r="B106" s="6" t="inlineStr">
        <is>
          <t>A26/770</t>
        </is>
      </c>
      <c r="C106" s="6" t="inlineStr">
        <is>
          <t>21/07/2026</t>
        </is>
      </c>
      <c r="D106" s="6" t="inlineStr">
        <is>
          <t>LLENADO PISCINA</t>
        </is>
      </c>
      <c r="E106" s="6" t="inlineStr">
        <is>
          <t>TRANSPORTES LUIS BLANES SL.</t>
        </is>
      </c>
      <c r="F106" s="6" t="inlineStr">
        <is>
          <t>IMPUTADO</t>
        </is>
      </c>
      <c r="G106" s="4" t="n">
        <v>500</v>
      </c>
    </row>
    <row r="107">
      <c r="A107" s="6" t="inlineStr">
        <is>
          <t>24009 - FORMENTERA 12, JOAQUIN</t>
        </is>
      </c>
      <c r="B107" s="6" t="inlineStr">
        <is>
          <t>A26/368</t>
        </is>
      </c>
      <c r="C107" s="6" t="inlineStr">
        <is>
          <t>01/05/2026</t>
        </is>
      </c>
      <c r="D107" s="6" t="inlineStr">
        <is>
          <t>LLENAR PISCINA AGUA CUBA</t>
        </is>
      </c>
      <c r="E107" s="6" t="inlineStr">
        <is>
          <t>TRANSPORTES LUIS BLANES SL.</t>
        </is>
      </c>
      <c r="F107" s="6" t="inlineStr">
        <is>
          <t>IMPUTADO</t>
        </is>
      </c>
      <c r="G107" s="4" t="n">
        <v>500</v>
      </c>
    </row>
    <row r="108">
      <c r="A108" s="6" t="inlineStr">
        <is>
          <t>24009 - FORMENTERA 12, JOAQUIN</t>
        </is>
      </c>
      <c r="B108" s="6" t="inlineStr">
        <is>
          <t>7497</t>
        </is>
      </c>
      <c r="C108" s="6" t="inlineStr">
        <is>
          <t>11/04/2026</t>
        </is>
      </c>
      <c r="D108" s="6" t="inlineStr">
        <is>
          <t>GRIFERIA</t>
        </is>
      </c>
      <c r="E108" s="6" t="inlineStr">
        <is>
          <t>SALTOKI ELCHE SL.</t>
        </is>
      </c>
      <c r="F108" s="6" t="inlineStr">
        <is>
          <t>IMPUTADO</t>
        </is>
      </c>
      <c r="G108" s="4" t="n">
        <v>475.31</v>
      </c>
    </row>
    <row r="109">
      <c r="A109" s="6" t="inlineStr">
        <is>
          <t>24009 - FORMENTERA 12, JOAQUIN</t>
        </is>
      </c>
      <c r="B109" s="6" t="inlineStr">
        <is>
          <t>A-26/0002947</t>
        </is>
      </c>
      <c r="C109" s="6" t="inlineStr">
        <is>
          <t>31/07/2026</t>
        </is>
      </c>
      <c r="D109" s="6" t="inlineStr">
        <is>
          <t>MATERIAL Y GESTION FURGON</t>
        </is>
      </c>
      <c r="E109" s="6" t="inlineStr">
        <is>
          <t>CONSYDECOR SL</t>
        </is>
      </c>
      <c r="F109" s="6" t="inlineStr">
        <is>
          <t>IMPUTADO</t>
        </is>
      </c>
      <c r="G109" s="4" t="n">
        <v>468.44</v>
      </c>
    </row>
    <row r="110">
      <c r="A110" s="6" t="inlineStr">
        <is>
          <t>24009 - FORMENTERA 12, JOAQUIN</t>
        </is>
      </c>
      <c r="B110" s="6" t="inlineStr">
        <is>
          <t>A/157</t>
        </is>
      </c>
      <c r="C110" s="6" t="inlineStr">
        <is>
          <t>03/09/2026</t>
        </is>
      </c>
      <c r="D110" s="6" t="inlineStr">
        <is>
          <t>PORTON CALLE #madera carpinteria</t>
        </is>
      </c>
      <c r="E110" s="6" t="inlineStr">
        <is>
          <t>CARPINTERIA EBANISTERIA BAMBU SL.</t>
        </is>
      </c>
      <c r="F110" s="6" t="inlineStr">
        <is>
          <t>IMPUTADO</t>
        </is>
      </c>
      <c r="G110" s="4" t="n">
        <v>450</v>
      </c>
    </row>
    <row r="111">
      <c r="A111" s="6" t="inlineStr">
        <is>
          <t>24009 - FORMENTERA 12, JOAQUIN</t>
        </is>
      </c>
      <c r="B111" s="6" t="inlineStr">
        <is>
          <t>609212-2</t>
        </is>
      </c>
      <c r="C111" s="6" t="inlineStr">
        <is>
          <t>04/03/2026</t>
        </is>
      </c>
      <c r="D111" s="6" t="inlineStr">
        <is>
          <t>PRESUPUESTO Nº 609212-2</t>
        </is>
      </c>
      <c r="E111" s="6" t="inlineStr">
        <is>
          <t>LEROY MERLIN ESPAÑA SL</t>
        </is>
      </c>
      <c r="F111" s="6" t="inlineStr">
        <is>
          <t>IMPUTADO</t>
        </is>
      </c>
      <c r="G111" s="4" t="n">
        <v>405.39</v>
      </c>
    </row>
    <row r="112">
      <c r="A112" s="6" t="inlineStr">
        <is>
          <t>24009 - FORMENTERA 12, JOAQUIN</t>
        </is>
      </c>
      <c r="B112" s="6" t="inlineStr">
        <is>
          <t>058-0006-960004</t>
        </is>
      </c>
      <c r="C112" s="6" t="inlineStr">
        <is>
          <t>22/06/2026</t>
        </is>
      </c>
      <c r="D112" s="6" t="inlineStr">
        <is>
          <t>APLIQUES EXTERIOR</t>
        </is>
      </c>
      <c r="E112" s="6" t="inlineStr">
        <is>
          <t>LEROY MERLIN ESPAÑA SL</t>
        </is>
      </c>
      <c r="F112" s="6" t="inlineStr">
        <is>
          <t>IMPUTADO</t>
        </is>
      </c>
      <c r="G112" s="4" t="n">
        <v>400.27</v>
      </c>
    </row>
    <row r="113">
      <c r="A113" s="6" t="inlineStr">
        <is>
          <t>24009 - FORMENTERA 12, JOAQUIN</t>
        </is>
      </c>
      <c r="B113" s="6" t="inlineStr">
        <is>
          <t>457</t>
        </is>
      </c>
      <c r="C113" s="6" t="inlineStr">
        <is>
          <t>19/06/2026</t>
        </is>
      </c>
      <c r="D113" s="6" t="inlineStr">
        <is>
          <t>ABONO  PARCIAL - TABLERO FENÓLICO</t>
        </is>
      </c>
      <c r="E113" s="6" t="inlineStr">
        <is>
          <t>SIDO MADERA SL</t>
        </is>
      </c>
      <c r="F113" s="6" t="inlineStr">
        <is>
          <t>SIN IMPUTAR</t>
        </is>
      </c>
      <c r="G113" s="4" t="n">
        <v>-398.25</v>
      </c>
    </row>
    <row r="114">
      <c r="A114" s="6" t="inlineStr">
        <is>
          <t>24009 - FORMENTERA 12, JOAQUIN</t>
        </is>
      </c>
      <c r="B114" s="6" t="inlineStr">
        <is>
          <t>1.819,00</t>
        </is>
      </c>
      <c r="C114" s="6" t="inlineStr">
        <is>
          <t>30/06/2026</t>
        </is>
      </c>
      <c r="D114" s="6" t="inlineStr">
        <is>
          <t>CONTENEDORES</t>
        </is>
      </c>
      <c r="E114" s="6" t="inlineStr">
        <is>
          <t>CONTENEDORES Y EXCAVACIONES ASPE SL.</t>
        </is>
      </c>
      <c r="F114" s="6" t="inlineStr">
        <is>
          <t>IMPUTADO</t>
        </is>
      </c>
      <c r="G114" s="4" t="n">
        <v>-390</v>
      </c>
    </row>
    <row r="115">
      <c r="A115" s="6" t="inlineStr">
        <is>
          <t>24009 - FORMENTERA 12, JOAQUIN</t>
        </is>
      </c>
      <c r="B115" s="6" t="inlineStr">
        <is>
          <t>A-26/212-</t>
        </is>
      </c>
      <c r="C115" s="6" t="inlineStr">
        <is>
          <t>30/06/2026</t>
        </is>
      </c>
      <c r="D115" s="6" t="inlineStr">
        <is>
          <t>CONTENEDORES</t>
        </is>
      </c>
      <c r="E115" s="6" t="inlineStr">
        <is>
          <t>CONTENEDORES Y EXCAVACIONES ASPE SL.</t>
        </is>
      </c>
      <c r="F115" s="6" t="inlineStr">
        <is>
          <t>IMPUTADO</t>
        </is>
      </c>
      <c r="G115" s="4" t="n">
        <v>390</v>
      </c>
    </row>
    <row r="116">
      <c r="A116" s="6" t="inlineStr">
        <is>
          <t>24009 - FORMENTERA 12, JOAQUIN</t>
        </is>
      </c>
      <c r="B116" s="6" t="inlineStr">
        <is>
          <t>1.817,00</t>
        </is>
      </c>
      <c r="C116" s="6" t="inlineStr">
        <is>
          <t>16/07/2026</t>
        </is>
      </c>
      <c r="D116" s="6" t="inlineStr">
        <is>
          <t>CONTENEDORES</t>
        </is>
      </c>
      <c r="E116" s="6" t="inlineStr">
        <is>
          <t>CONTENEDORES Y EXCAVACIONES ASPE SL.</t>
        </is>
      </c>
      <c r="F116" s="6" t="inlineStr">
        <is>
          <t>IMPUTADO</t>
        </is>
      </c>
      <c r="G116" s="4" t="n">
        <v>-390</v>
      </c>
    </row>
    <row r="117">
      <c r="A117" s="6" t="inlineStr">
        <is>
          <t>24009 - FORMENTERA 12, JOAQUIN</t>
        </is>
      </c>
      <c r="B117" s="6" t="inlineStr">
        <is>
          <t>1.816,00</t>
        </is>
      </c>
      <c r="C117" s="6" t="inlineStr">
        <is>
          <t>16/07/2026</t>
        </is>
      </c>
      <c r="D117" s="6" t="inlineStr">
        <is>
          <t>CONTENEDORES</t>
        </is>
      </c>
      <c r="E117" s="6" t="inlineStr">
        <is>
          <t>CONTENEDORES Y EXCAVACIONES ASPE SL.</t>
        </is>
      </c>
      <c r="F117" s="6" t="inlineStr">
        <is>
          <t>IMPUTADO</t>
        </is>
      </c>
      <c r="G117" s="4" t="n">
        <v>390</v>
      </c>
    </row>
    <row r="118">
      <c r="A118" s="6" t="inlineStr">
        <is>
          <t>24009 - FORMENTERA 12, JOAQUIN</t>
        </is>
      </c>
      <c r="B118" s="6" t="inlineStr">
        <is>
          <t>A-26/212</t>
        </is>
      </c>
      <c r="C118" s="6" t="inlineStr">
        <is>
          <t>30/06/2026</t>
        </is>
      </c>
      <c r="D118" s="6" t="inlineStr">
        <is>
          <t>CONTENEDORES</t>
        </is>
      </c>
      <c r="E118" s="6" t="inlineStr">
        <is>
          <t>CONTENEDORES Y EXCAVACIONES ASPE SL.</t>
        </is>
      </c>
      <c r="F118" s="6" t="inlineStr">
        <is>
          <t>IMPUTADO</t>
        </is>
      </c>
      <c r="G118" s="4" t="n">
        <v>390</v>
      </c>
    </row>
    <row r="119">
      <c r="A119" s="6" t="inlineStr">
        <is>
          <t>24009 - FORMENTERA 12, JOAQUIN</t>
        </is>
      </c>
      <c r="B119" s="6" t="inlineStr">
        <is>
          <t>2026/A-3836</t>
        </is>
      </c>
      <c r="C119" s="6" t="inlineStr">
        <is>
          <t>30/06/2026</t>
        </is>
      </c>
      <c r="D119" s="6" t="inlineStr">
        <is>
          <t>PINTURA</t>
        </is>
      </c>
      <c r="E119" s="6" t="inlineStr">
        <is>
          <t>PINTURAS IDELLA SL.</t>
        </is>
      </c>
      <c r="F119" s="6" t="inlineStr">
        <is>
          <t>IMPUTADO</t>
        </is>
      </c>
      <c r="G119" s="4" t="n">
        <v>380.84</v>
      </c>
    </row>
    <row r="120">
      <c r="A120" s="6" t="inlineStr">
        <is>
          <t>24009 - FORMENTERA 12, JOAQUIN</t>
        </is>
      </c>
      <c r="B120" s="6" t="inlineStr">
        <is>
          <t>615228</t>
        </is>
      </c>
      <c r="C120" s="6" t="inlineStr">
        <is>
          <t>09/04/2026</t>
        </is>
      </c>
      <c r="D120" s="6" t="inlineStr">
        <is>
          <t>PRESUPUESTO Nº 615228</t>
        </is>
      </c>
      <c r="E120" s="6" t="inlineStr">
        <is>
          <t>LEROY MERLIN ESPAÑA SL</t>
        </is>
      </c>
      <c r="F120" s="6" t="inlineStr">
        <is>
          <t>IMPUTADO</t>
        </is>
      </c>
      <c r="G120" s="4" t="n">
        <v>380.07</v>
      </c>
    </row>
    <row r="121">
      <c r="A121" s="6" t="inlineStr">
        <is>
          <t>24009 - FORMENTERA 12, JOAQUIN</t>
        </is>
      </c>
      <c r="B121" s="6" t="inlineStr">
        <is>
          <t>7300307647</t>
        </is>
      </c>
      <c r="C121" s="6" t="inlineStr">
        <is>
          <t>13/07/2026</t>
        </is>
      </c>
      <c r="D121" s="6" t="inlineStr">
        <is>
          <t>PLADUR</t>
        </is>
      </c>
      <c r="E121" s="6" t="inlineStr">
        <is>
          <t>SAINT GOBAIN IDAPLAC SL</t>
        </is>
      </c>
      <c r="F121" s="6" t="inlineStr">
        <is>
          <t>IMPUTADO</t>
        </is>
      </c>
      <c r="G121" s="4" t="n">
        <v>376.3</v>
      </c>
    </row>
    <row r="122">
      <c r="A122" s="6" t="inlineStr">
        <is>
          <t>24009 - FORMENTERA 12, JOAQUIN</t>
        </is>
      </c>
      <c r="B122" s="6" t="inlineStr">
        <is>
          <t>A-26/0002461</t>
        </is>
      </c>
      <c r="C122" s="6" t="inlineStr">
        <is>
          <t>30/06/2026</t>
        </is>
      </c>
      <c r="D122" s="6" t="inlineStr">
        <is>
          <t>MATERIAL OBRA</t>
        </is>
      </c>
      <c r="E122" s="6" t="inlineStr">
        <is>
          <t>CONSYDECOR SL</t>
        </is>
      </c>
      <c r="F122" s="6" t="inlineStr">
        <is>
          <t>IMPUTADO</t>
        </is>
      </c>
      <c r="G122" s="4" t="n">
        <v>365.07</v>
      </c>
    </row>
    <row r="123">
      <c r="A123" s="6" t="inlineStr">
        <is>
          <t>24009 - FORMENTERA 12, JOAQUIN</t>
        </is>
      </c>
      <c r="B123" s="6" t="inlineStr">
        <is>
          <t>G26.039</t>
        </is>
      </c>
      <c r="C123" s="6" t="inlineStr">
        <is>
          <t>31/03/2026</t>
        </is>
      </c>
      <c r="D123" s="6" t="inlineStr">
        <is>
          <t>GRUA #albañileria</t>
        </is>
      </c>
      <c r="E123" s="6" t="inlineStr">
        <is>
          <t>GRUAS Y MAQUINARIA PETREL SL</t>
        </is>
      </c>
      <c r="F123" s="6" t="inlineStr">
        <is>
          <t>IMPUTADO</t>
        </is>
      </c>
      <c r="G123" s="4" t="n">
        <v>360</v>
      </c>
    </row>
    <row r="124">
      <c r="A124" s="6" t="inlineStr">
        <is>
          <t>24009 - FORMENTERA 12, JOAQUIN</t>
        </is>
      </c>
      <c r="B124" s="6" t="inlineStr">
        <is>
          <t>1.883,00</t>
        </is>
      </c>
      <c r="C124" s="6" t="inlineStr">
        <is>
          <t>26/08/2026</t>
        </is>
      </c>
      <c r="D124" s="6" t="inlineStr">
        <is>
          <t>GRUA</t>
        </is>
      </c>
      <c r="E124" s="6" t="inlineStr">
        <is>
          <t>GRUAS Y MAQUINARIA PETREL SL</t>
        </is>
      </c>
      <c r="F124" s="6" t="inlineStr">
        <is>
          <t>SIN IMPUTAR</t>
        </is>
      </c>
      <c r="G124" s="4" t="n">
        <v>-357</v>
      </c>
    </row>
    <row r="125">
      <c r="A125" s="6" t="inlineStr">
        <is>
          <t>24009 - FORMENTERA 12, JOAQUIN</t>
        </is>
      </c>
      <c r="B125" s="6" t="inlineStr">
        <is>
          <t>G26.089</t>
        </is>
      </c>
      <c r="C125" s="6" t="inlineStr">
        <is>
          <t>23/07/2026</t>
        </is>
      </c>
      <c r="D125" s="6" t="inlineStr">
        <is>
          <t>GRUA</t>
        </is>
      </c>
      <c r="E125" s="6" t="inlineStr">
        <is>
          <t>GRUAS Y MAQUINARIA PETREL SL</t>
        </is>
      </c>
      <c r="F125" s="6" t="inlineStr">
        <is>
          <t>IMPUTADO</t>
        </is>
      </c>
      <c r="G125" s="4" t="n">
        <v>357</v>
      </c>
    </row>
    <row r="126">
      <c r="A126" s="6" t="inlineStr">
        <is>
          <t>24009 - FORMENTERA 12, JOAQUIN</t>
        </is>
      </c>
      <c r="B126" s="6" t="inlineStr">
        <is>
          <t>A-26/244</t>
        </is>
      </c>
      <c r="C126" s="6" t="inlineStr">
        <is>
          <t>15/07/2026</t>
        </is>
      </c>
      <c r="D126" s="6" t="inlineStr">
        <is>
          <t>CONTENEDORES</t>
        </is>
      </c>
      <c r="E126" s="6" t="inlineStr">
        <is>
          <t>CONTENEDORES Y EXCAVACIONES ASPE SL.</t>
        </is>
      </c>
      <c r="F126" s="6" t="inlineStr">
        <is>
          <t>IMPUTADO</t>
        </is>
      </c>
      <c r="G126" s="4" t="n">
        <v>350</v>
      </c>
    </row>
    <row r="127">
      <c r="A127" s="6" t="inlineStr">
        <is>
          <t>24009 - FORMENTERA 12, JOAQUIN</t>
        </is>
      </c>
      <c r="B127" s="6" t="inlineStr">
        <is>
          <t>ASO260560</t>
        </is>
      </c>
      <c r="C127" s="6" t="inlineStr">
        <is>
          <t>10/06/2026</t>
        </is>
      </c>
      <c r="D127" s="6" t="inlineStr">
        <is>
          <t>HORMIGON MURO</t>
        </is>
      </c>
      <c r="E127" s="6" t="inlineStr">
        <is>
          <t>EXPRESS HORMIGONES SL.</t>
        </is>
      </c>
      <c r="F127" s="6" t="inlineStr">
        <is>
          <t>IMPUTADO</t>
        </is>
      </c>
      <c r="G127" s="4" t="n">
        <v>325.5</v>
      </c>
    </row>
    <row r="128">
      <c r="A128" s="6" t="inlineStr">
        <is>
          <t>24009 - FORMENTERA 12, JOAQUIN</t>
        </is>
      </c>
      <c r="B128" s="6" t="inlineStr">
        <is>
          <t>A 02026046</t>
        </is>
      </c>
      <c r="C128" s="6" t="inlineStr">
        <is>
          <t>09/09/2026</t>
        </is>
      </c>
      <c r="D128" s="6" t="inlineStr">
        <is>
          <t>INSTALACION AEROTERMIA</t>
        </is>
      </c>
      <c r="E128" s="6" t="inlineStr">
        <is>
          <t>MANUEL SANTACRUZ AZORIN</t>
        </is>
      </c>
      <c r="F128" s="6" t="inlineStr">
        <is>
          <t>IMPUTADO</t>
        </is>
      </c>
      <c r="G128" s="4" t="n">
        <v>314.88</v>
      </c>
    </row>
    <row r="129">
      <c r="A129" s="6" t="inlineStr">
        <is>
          <t>24009 - FORMENTERA 12, JOAQUIN</t>
        </is>
      </c>
      <c r="B129" s="6" t="inlineStr">
        <is>
          <t>44</t>
        </is>
      </c>
      <c r="C129" s="6" t="inlineStr">
        <is>
          <t>09/09/2026</t>
        </is>
      </c>
      <c r="D129" s="6" t="inlineStr">
        <is>
          <t>TRATAMIENTO DE LIMPIEZA DE PORCELANICO CON MAQUINA</t>
        </is>
      </c>
      <c r="E129" s="6" t="inlineStr">
        <is>
          <t>VICTOR MANUEL EGEA BARNEO</t>
        </is>
      </c>
      <c r="F129" s="6" t="inlineStr">
        <is>
          <t>IMPUTADO</t>
        </is>
      </c>
      <c r="G129" s="4" t="n">
        <v>310</v>
      </c>
    </row>
    <row r="130">
      <c r="A130" s="6" t="inlineStr">
        <is>
          <t>24009 - FORMENTERA 12, JOAQUIN</t>
        </is>
      </c>
      <c r="B130" s="6" t="inlineStr">
        <is>
          <t>A-26/281</t>
        </is>
      </c>
      <c r="C130" s="6" t="inlineStr">
        <is>
          <t>31/07/2026</t>
        </is>
      </c>
      <c r="D130" s="6" t="inlineStr">
        <is>
          <t>RETROCARGADORA MIXTA</t>
        </is>
      </c>
      <c r="E130" s="6" t="inlineStr">
        <is>
          <t>CONTENEDORES Y EXCAVACIONES ASPE SL.</t>
        </is>
      </c>
      <c r="F130" s="6" t="inlineStr">
        <is>
          <t>IMPUTADO</t>
        </is>
      </c>
      <c r="G130" s="4" t="n">
        <v>310</v>
      </c>
    </row>
    <row r="131">
      <c r="A131" s="6" t="inlineStr">
        <is>
          <t>24009 - FORMENTERA 12, JOAQUIN</t>
        </is>
      </c>
      <c r="B131" s="6" t="inlineStr">
        <is>
          <t>A-26/0001945</t>
        </is>
      </c>
      <c r="C131" s="6" t="inlineStr">
        <is>
          <t>31/05/2026</t>
        </is>
      </c>
      <c r="D131" s="6" t="inlineStr">
        <is>
          <t>MATERIAL OBRA</t>
        </is>
      </c>
      <c r="E131" s="6" t="inlineStr">
        <is>
          <t>CONSYDECOR SL</t>
        </is>
      </c>
      <c r="F131" s="6" t="inlineStr">
        <is>
          <t>IMPUTADO</t>
        </is>
      </c>
      <c r="G131" s="4" t="n">
        <v>294.86</v>
      </c>
    </row>
    <row r="132">
      <c r="A132" s="6" t="inlineStr">
        <is>
          <t>24009 - FORMENTERA 12, JOAQUIN</t>
        </is>
      </c>
      <c r="B132" s="6" t="inlineStr">
        <is>
          <t>26/618</t>
        </is>
      </c>
      <c r="C132" s="6" t="inlineStr">
        <is>
          <t>07/08/2026</t>
        </is>
      </c>
      <c r="D132" s="6" t="inlineStr">
        <is>
          <t>MALLAZO ELECTROSOLDADO</t>
        </is>
      </c>
      <c r="E132" s="6" t="inlineStr">
        <is>
          <t>FERRALLAS MONFORTE DEL CID SL.</t>
        </is>
      </c>
      <c r="F132" s="6" t="inlineStr">
        <is>
          <t>IMPUTADO</t>
        </is>
      </c>
      <c r="G132" s="4" t="n">
        <v>257.4</v>
      </c>
    </row>
    <row r="133">
      <c r="A133" s="6" t="inlineStr">
        <is>
          <t>24009 - FORMENTERA 12, JOAQUIN</t>
        </is>
      </c>
      <c r="B133" s="6" t="inlineStr">
        <is>
          <t>A-26/0002695</t>
        </is>
      </c>
      <c r="C133" s="6" t="inlineStr">
        <is>
          <t>15/07/2026</t>
        </is>
      </c>
      <c r="D133" s="6" t="inlineStr">
        <is>
          <t>MATERIAL OBRA</t>
        </is>
      </c>
      <c r="E133" s="6" t="inlineStr">
        <is>
          <t>CONSYDECOR SL</t>
        </is>
      </c>
      <c r="F133" s="6" t="inlineStr">
        <is>
          <t>IMPUTADO</t>
        </is>
      </c>
      <c r="G133" s="4" t="n">
        <v>245.44</v>
      </c>
    </row>
    <row r="134">
      <c r="A134" s="6" t="inlineStr">
        <is>
          <t>24009 - FORMENTERA 12, JOAQUIN</t>
        </is>
      </c>
      <c r="B134" s="6" t="inlineStr">
        <is>
          <t>062-0006-204596</t>
        </is>
      </c>
      <c r="C134" s="6" t="inlineStr">
        <is>
          <t>19/06/2026</t>
        </is>
      </c>
      <c r="D134" s="6" t="inlineStr">
        <is>
          <t>REJILLA LINEAL</t>
        </is>
      </c>
      <c r="E134" s="6" t="inlineStr">
        <is>
          <t>LEROY MERLIN ESPAÑA SL</t>
        </is>
      </c>
      <c r="F134" s="6" t="inlineStr">
        <is>
          <t>SIN IMPUTAR</t>
        </is>
      </c>
      <c r="G134" s="4" t="n">
        <v>242.4</v>
      </c>
    </row>
    <row r="135">
      <c r="A135" s="6" t="inlineStr">
        <is>
          <t>24009 - FORMENTERA 12, JOAQUIN</t>
        </is>
      </c>
      <c r="B135" s="6" t="inlineStr">
        <is>
          <t>A-26/310</t>
        </is>
      </c>
      <c r="C135" s="6" t="inlineStr">
        <is>
          <t>31/08/2026</t>
        </is>
      </c>
      <c r="D135" s="6" t="inlineStr">
        <is>
          <t>CONTENEDOR</t>
        </is>
      </c>
      <c r="E135" s="6" t="inlineStr">
        <is>
          <t>CONTENEDORES Y EXCAVACIONES ASPE SL.</t>
        </is>
      </c>
      <c r="F135" s="6" t="inlineStr">
        <is>
          <t>IMPUTADO</t>
        </is>
      </c>
      <c r="G135" s="4" t="n">
        <v>230</v>
      </c>
    </row>
    <row r="136">
      <c r="A136" s="6" t="inlineStr">
        <is>
          <t>24009 - FORMENTERA 12, JOAQUIN</t>
        </is>
      </c>
      <c r="B136" s="6" t="inlineStr">
        <is>
          <t>A-26/177</t>
        </is>
      </c>
      <c r="C136" s="6" t="inlineStr">
        <is>
          <t>31/05/2026</t>
        </is>
      </c>
      <c r="D136" s="6" t="inlineStr">
        <is>
          <t>CONTENEDOR</t>
        </is>
      </c>
      <c r="E136" s="6" t="inlineStr">
        <is>
          <t>CONTENEDORES Y EXCAVACIONES ASPE SL.</t>
        </is>
      </c>
      <c r="F136" s="6" t="inlineStr">
        <is>
          <t>IMPUTADO</t>
        </is>
      </c>
      <c r="G136" s="4" t="n">
        <v>230</v>
      </c>
    </row>
    <row r="137">
      <c r="A137" s="6" t="inlineStr">
        <is>
          <t>24009 - FORMENTERA 12, JOAQUIN</t>
        </is>
      </c>
      <c r="B137" s="6" t="inlineStr">
        <is>
          <t>A-26/138</t>
        </is>
      </c>
      <c r="C137" s="6" t="inlineStr">
        <is>
          <t>30/04/2026</t>
        </is>
      </c>
      <c r="D137" s="6" t="inlineStr">
        <is>
          <t>CONTENEDOR #albañileria/contenedores</t>
        </is>
      </c>
      <c r="E137" s="6" t="inlineStr">
        <is>
          <t>CONTENEDORES Y EXCAVACIONES ASPE SL.</t>
        </is>
      </c>
      <c r="F137" s="6" t="inlineStr">
        <is>
          <t>IMPUTADO</t>
        </is>
      </c>
      <c r="G137" s="4" t="n">
        <v>230</v>
      </c>
    </row>
    <row r="138">
      <c r="A138" s="6" t="inlineStr">
        <is>
          <t>24009 - FORMENTERA 12, JOAQUIN</t>
        </is>
      </c>
      <c r="B138" s="6" t="inlineStr">
        <is>
          <t>A-26/107</t>
        </is>
      </c>
      <c r="C138" s="6" t="inlineStr">
        <is>
          <t>01/04/2026</t>
        </is>
      </c>
      <c r="D138" s="6" t="inlineStr">
        <is>
          <t>GESTIÓN DE RESIDUOS</t>
        </is>
      </c>
      <c r="E138" s="6" t="inlineStr">
        <is>
          <t>CONTENEDORES Y EXCAVACIONES ASPE SL.</t>
        </is>
      </c>
      <c r="F138" s="6" t="inlineStr">
        <is>
          <t>IMPUTADO</t>
        </is>
      </c>
      <c r="G138" s="4" t="n">
        <v>230</v>
      </c>
    </row>
    <row r="139">
      <c r="A139" s="6" t="inlineStr">
        <is>
          <t>24009 - FORMENTERA 12, JOAQUIN</t>
        </is>
      </c>
      <c r="B139" s="6" t="inlineStr">
        <is>
          <t>A-26/50</t>
        </is>
      </c>
      <c r="C139" s="6" t="inlineStr">
        <is>
          <t>15/02/2026</t>
        </is>
      </c>
      <c r="D139" s="6" t="inlineStr">
        <is>
          <t>CONTENEDORES</t>
        </is>
      </c>
      <c r="E139" s="6" t="inlineStr">
        <is>
          <t>CONTENEDORES Y EXCAVACIONES ASPE SL.</t>
        </is>
      </c>
      <c r="F139" s="6" t="inlineStr">
        <is>
          <t>IMPUTADO</t>
        </is>
      </c>
      <c r="G139" s="4" t="n">
        <v>230</v>
      </c>
    </row>
    <row r="140">
      <c r="A140" s="6" t="inlineStr">
        <is>
          <t>24009 - FORMENTERA 12, JOAQUIN</t>
        </is>
      </c>
      <c r="B140" s="6" t="inlineStr">
        <is>
          <t>062-0004-165426</t>
        </is>
      </c>
      <c r="C140" s="6" t="inlineStr">
        <is>
          <t>07/04/2026</t>
        </is>
      </c>
      <c r="D140" s="6" t="inlineStr">
        <is>
          <t>PLATO DUCHA</t>
        </is>
      </c>
      <c r="E140" s="6" t="inlineStr">
        <is>
          <t>LEROY MERLIN ESPAÑA SL</t>
        </is>
      </c>
      <c r="F140" s="6" t="inlineStr">
        <is>
          <t>IMPUTADO</t>
        </is>
      </c>
      <c r="G140" s="4" t="n">
        <v>229.75</v>
      </c>
    </row>
    <row r="141">
      <c r="A141" s="6" t="inlineStr">
        <is>
          <t>24009 - FORMENTERA 12, JOAQUIN</t>
        </is>
      </c>
      <c r="B141" s="6" t="inlineStr">
        <is>
          <t>65840</t>
        </is>
      </c>
      <c r="C141" s="6" t="inlineStr">
        <is>
          <t>30/09/2026</t>
        </is>
      </c>
      <c r="D141" s="6" t="inlineStr">
        <is>
          <t>DUCHA/DESAGÜE/GRIFO</t>
        </is>
      </c>
      <c r="E141" s="6" t="inlineStr">
        <is>
          <t>SALTOKI ALICANTE SL.</t>
        </is>
      </c>
      <c r="F141" s="6" t="inlineStr">
        <is>
          <t>IMPUTADO</t>
        </is>
      </c>
      <c r="G141" s="4" t="n">
        <v>217.42</v>
      </c>
    </row>
    <row r="142">
      <c r="A142" s="6" t="inlineStr">
        <is>
          <t>24009 - FORMENTERA 12, JOAQUIN</t>
        </is>
      </c>
      <c r="B142" s="6" t="inlineStr">
        <is>
          <t>A-26/0000441</t>
        </is>
      </c>
      <c r="C142" s="6" t="inlineStr">
        <is>
          <t>15/02/2026</t>
        </is>
      </c>
      <c r="D142" s="6" t="inlineStr">
        <is>
          <t>MATERIAL OBRA #Albañileria- Material</t>
        </is>
      </c>
      <c r="E142" s="6" t="inlineStr">
        <is>
          <t>CONSYDECOR SL</t>
        </is>
      </c>
      <c r="F142" s="6" t="inlineStr">
        <is>
          <t>IMPUTADO</t>
        </is>
      </c>
      <c r="G142" s="4" t="n">
        <v>214.84</v>
      </c>
    </row>
    <row r="143">
      <c r="A143" s="6" t="inlineStr">
        <is>
          <t>24009 - FORMENTERA 12, JOAQUIN</t>
        </is>
      </c>
      <c r="B143" s="6" t="inlineStr">
        <is>
          <t>26/00059</t>
        </is>
      </c>
      <c r="C143" s="6" t="inlineStr">
        <is>
          <t>04/02/2026</t>
        </is>
      </c>
      <c r="D143" s="6" t="inlineStr">
        <is>
          <t>KIT DUCHA OCULTO</t>
        </is>
      </c>
      <c r="E143" s="6" t="inlineStr">
        <is>
          <t>MATERIALES DE CONSTRUCCION MONOVAR SL</t>
        </is>
      </c>
      <c r="F143" s="6" t="inlineStr">
        <is>
          <t>IMPUTADO</t>
        </is>
      </c>
      <c r="G143" s="4" t="n">
        <v>206.22</v>
      </c>
    </row>
    <row r="144">
      <c r="A144" s="6" t="inlineStr">
        <is>
          <t>24009 - FORMENTERA 12, JOAQUIN</t>
        </is>
      </c>
      <c r="B144" s="6" t="inlineStr">
        <is>
          <t>A/4707</t>
        </is>
      </c>
      <c r="C144" s="6" t="inlineStr">
        <is>
          <t>19/06/2026</t>
        </is>
      </c>
      <c r="D144" s="6" t="inlineStr">
        <is>
          <t>REPARACIÓN MORTERO HORRMIGON VISTO</t>
        </is>
      </c>
      <c r="E144" s="6" t="inlineStr">
        <is>
          <t>MATERIALES CANO SL</t>
        </is>
      </c>
      <c r="F144" s="6" t="inlineStr">
        <is>
          <t>IMPUTADO</t>
        </is>
      </c>
      <c r="G144" s="4" t="n">
        <v>198.75</v>
      </c>
    </row>
    <row r="145">
      <c r="A145" s="6" t="inlineStr">
        <is>
          <t>24009 - FORMENTERA 12, JOAQUIN</t>
        </is>
      </c>
      <c r="B145" s="6" t="inlineStr">
        <is>
          <t>7300299569</t>
        </is>
      </c>
      <c r="C145" s="6" t="inlineStr">
        <is>
          <t>19/06/2026</t>
        </is>
      </c>
      <c r="D145" s="6" t="inlineStr">
        <is>
          <t>PERFILES PLADUR OMEGA</t>
        </is>
      </c>
      <c r="E145" s="6" t="inlineStr">
        <is>
          <t>SAINT GOBAIN IDAPLAC SL</t>
        </is>
      </c>
      <c r="F145" s="6" t="inlineStr">
        <is>
          <t>IMPUTADO</t>
        </is>
      </c>
      <c r="G145" s="4" t="n">
        <v>196.2</v>
      </c>
    </row>
    <row r="146">
      <c r="A146" s="6" t="inlineStr">
        <is>
          <t>24009 - FORMENTERA 12, JOAQUIN</t>
        </is>
      </c>
      <c r="B146" s="6" t="inlineStr">
        <is>
          <t>A-26/0003407</t>
        </is>
      </c>
      <c r="C146" s="6" t="inlineStr">
        <is>
          <t>15/09/2026</t>
        </is>
      </c>
      <c r="D146" s="6" t="inlineStr">
        <is>
          <t>ENLACE/CINTA/LLANA/ARENA</t>
        </is>
      </c>
      <c r="E146" s="6" t="inlineStr">
        <is>
          <t>CONSYDECOR SL</t>
        </is>
      </c>
      <c r="F146" s="6" t="inlineStr">
        <is>
          <t>IMPUTADO</t>
        </is>
      </c>
      <c r="G146" s="4" t="n">
        <v>195.78</v>
      </c>
    </row>
    <row r="147">
      <c r="A147" s="6" t="inlineStr">
        <is>
          <t>24009 - FORMENTERA 12, JOAQUIN</t>
        </is>
      </c>
      <c r="B147" s="6" t="inlineStr">
        <is>
          <t>7300307326</t>
        </is>
      </c>
      <c r="C147" s="6" t="inlineStr">
        <is>
          <t>13/07/2026</t>
        </is>
      </c>
      <c r="D147" s="6" t="inlineStr">
        <is>
          <t>WEBER MORTERO</t>
        </is>
      </c>
      <c r="E147" s="6" t="inlineStr">
        <is>
          <t>SAINT GOBAIN IDAPLAC SL</t>
        </is>
      </c>
      <c r="F147" s="6" t="inlineStr">
        <is>
          <t>IMPUTADO</t>
        </is>
      </c>
      <c r="G147" s="4" t="n">
        <v>182.81</v>
      </c>
    </row>
    <row r="148">
      <c r="A148" s="6" t="inlineStr">
        <is>
          <t>24009 - FORMENTERA 12, JOAQUIN</t>
        </is>
      </c>
      <c r="B148" s="6" t="inlineStr">
        <is>
          <t>59617</t>
        </is>
      </c>
      <c r="C148" s="6" t="inlineStr">
        <is>
          <t>31/08/2026</t>
        </is>
      </c>
      <c r="D148" s="6" t="inlineStr">
        <is>
          <t>PULSADOR WC</t>
        </is>
      </c>
      <c r="E148" s="6" t="inlineStr">
        <is>
          <t>SALTOKI ALICANTE SL.</t>
        </is>
      </c>
      <c r="F148" s="6" t="inlineStr">
        <is>
          <t>IMPUTADO</t>
        </is>
      </c>
      <c r="G148" s="4" t="n">
        <v>178.2</v>
      </c>
    </row>
    <row r="149">
      <c r="A149" s="6" t="inlineStr">
        <is>
          <t>24009 - FORMENTERA 12, JOAQUIN</t>
        </is>
      </c>
      <c r="B149" s="6" t="inlineStr">
        <is>
          <t>2026/D-970</t>
        </is>
      </c>
      <c r="C149" s="6" t="inlineStr">
        <is>
          <t>12/05/2026</t>
        </is>
      </c>
      <c r="D149" s="6" t="inlineStr">
        <is>
          <t>PINTURA</t>
        </is>
      </c>
      <c r="E149" s="6" t="inlineStr">
        <is>
          <t>PINTURAS IDELLA SL.</t>
        </is>
      </c>
      <c r="F149" s="6" t="inlineStr">
        <is>
          <t>IMPUTADO</t>
        </is>
      </c>
      <c r="G149" s="4" t="n">
        <v>171.05</v>
      </c>
    </row>
    <row r="150">
      <c r="A150" s="6" t="inlineStr">
        <is>
          <t>24009 - FORMENTERA 12, JOAQUIN</t>
        </is>
      </c>
      <c r="B150" s="6" t="inlineStr">
        <is>
          <t>01/000006</t>
        </is>
      </c>
      <c r="C150" s="6" t="inlineStr">
        <is>
          <t>08/05/2026</t>
        </is>
      </c>
      <c r="D150" s="6" t="inlineStr">
        <is>
          <t>LIMPIEZA SOLAR</t>
        </is>
      </c>
      <c r="E150" s="6" t="inlineStr">
        <is>
          <t>MARCOS GALIANO POVEDA</t>
        </is>
      </c>
      <c r="F150" s="6" t="inlineStr">
        <is>
          <t>IMPUTADO</t>
        </is>
      </c>
      <c r="G150" s="4" t="n">
        <v>170</v>
      </c>
    </row>
    <row r="151">
      <c r="A151" s="6" t="inlineStr">
        <is>
          <t>24009 - FORMENTERA 12, JOAQUIN</t>
        </is>
      </c>
      <c r="B151" s="6" t="inlineStr">
        <is>
          <t>A-26/0002646</t>
        </is>
      </c>
      <c r="C151" s="6" t="inlineStr">
        <is>
          <t>31/07/2026</t>
        </is>
      </c>
      <c r="D151" s="6" t="inlineStr">
        <is>
          <t>MATERIAL</t>
        </is>
      </c>
      <c r="E151" s="6" t="inlineStr">
        <is>
          <t>CONSYDECOR SL</t>
        </is>
      </c>
      <c r="F151" s="6" t="inlineStr">
        <is>
          <t>IMPUTADO</t>
        </is>
      </c>
      <c r="G151" s="4" t="n">
        <v>167.69</v>
      </c>
    </row>
    <row r="152">
      <c r="A152" s="6" t="inlineStr">
        <is>
          <t>24009 - FORMENTERA 12, JOAQUIN</t>
        </is>
      </c>
      <c r="B152" s="6" t="inlineStr">
        <is>
          <t>FPL26-017</t>
        </is>
      </c>
      <c r="C152" s="6" t="inlineStr">
        <is>
          <t>04/02/2026</t>
        </is>
      </c>
      <c r="D152" s="6" t="inlineStr">
        <is>
          <t>REPISAS</t>
        </is>
      </c>
      <c r="E152" s="6" t="inlineStr">
        <is>
          <t>PEREA LOPEZ STONE SL.</t>
        </is>
      </c>
      <c r="F152" s="6" t="inlineStr">
        <is>
          <t>IMPUTADO</t>
        </is>
      </c>
      <c r="G152" s="4" t="n">
        <v>156.79</v>
      </c>
    </row>
    <row r="153">
      <c r="A153" s="6" t="inlineStr">
        <is>
          <t>24009 - FORMENTERA 12, JOAQUIN</t>
        </is>
      </c>
      <c r="B153" s="6" t="inlineStr">
        <is>
          <t>A-26/0002460</t>
        </is>
      </c>
      <c r="C153" s="6" t="inlineStr">
        <is>
          <t>30/06/2026</t>
        </is>
      </c>
      <c r="D153" s="6" t="inlineStr">
        <is>
          <t>MATERIAL OBRA</t>
        </is>
      </c>
      <c r="E153" s="6" t="inlineStr">
        <is>
          <t>CONSYDECOR SL</t>
        </is>
      </c>
      <c r="F153" s="6" t="inlineStr">
        <is>
          <t>IMPUTADO</t>
        </is>
      </c>
      <c r="G153" s="4" t="n">
        <v>156.31</v>
      </c>
    </row>
    <row r="154">
      <c r="A154" s="6" t="inlineStr">
        <is>
          <t>24009 - FORMENTERA 12, JOAQUIN</t>
        </is>
      </c>
      <c r="B154" s="6" t="inlineStr">
        <is>
          <t>7300308667</t>
        </is>
      </c>
      <c r="C154" s="6" t="inlineStr">
        <is>
          <t>15/07/2026</t>
        </is>
      </c>
      <c r="D154" s="6" t="inlineStr">
        <is>
          <t>PERFIL PVC</t>
        </is>
      </c>
      <c r="E154" s="6" t="inlineStr">
        <is>
          <t>SAINT GOBAIN IDAPLAC SL</t>
        </is>
      </c>
      <c r="F154" s="6" t="inlineStr">
        <is>
          <t>IMPUTADO</t>
        </is>
      </c>
      <c r="G154" s="4" t="n">
        <v>154.35</v>
      </c>
    </row>
    <row r="155">
      <c r="A155" s="6" t="inlineStr">
        <is>
          <t>24009 - FORMENTERA 12, JOAQUIN</t>
        </is>
      </c>
      <c r="B155" s="6" t="inlineStr">
        <is>
          <t>A-26/0002195</t>
        </is>
      </c>
      <c r="C155" s="6" t="inlineStr">
        <is>
          <t>15/06/2026</t>
        </is>
      </c>
      <c r="D155" s="6" t="inlineStr">
        <is>
          <t>MATERIAL OBRA</t>
        </is>
      </c>
      <c r="E155" s="6" t="inlineStr">
        <is>
          <t>CONSYDECOR SL</t>
        </is>
      </c>
      <c r="F155" s="6" t="inlineStr">
        <is>
          <t>IMPUTADO</t>
        </is>
      </c>
      <c r="G155" s="4" t="n">
        <v>152.63</v>
      </c>
    </row>
    <row r="156">
      <c r="A156" s="6" t="inlineStr">
        <is>
          <t>24009 - FORMENTERA 12, JOAQUIN</t>
        </is>
      </c>
      <c r="B156" s="6" t="inlineStr">
        <is>
          <t>1.896,00</t>
        </is>
      </c>
      <c r="C156" s="6" t="inlineStr">
        <is>
          <t>28/08/2026</t>
        </is>
      </c>
      <c r="D156" s="6" t="inlineStr">
        <is>
          <t>WEBER FACHADA</t>
        </is>
      </c>
      <c r="E156" s="6" t="inlineStr">
        <is>
          <t>SAINT GOBAIN IDAPLAC SL</t>
        </is>
      </c>
      <c r="F156" s="6" t="inlineStr">
        <is>
          <t>SIN IMPUTAR</t>
        </is>
      </c>
      <c r="G156" s="4" t="n">
        <v>-152.34</v>
      </c>
    </row>
    <row r="157">
      <c r="A157" s="6" t="inlineStr">
        <is>
          <t>24009 - FORMENTERA 12, JOAQUIN</t>
        </is>
      </c>
      <c r="B157" s="6" t="inlineStr">
        <is>
          <t>b-26/0000474</t>
        </is>
      </c>
      <c r="C157" s="6" t="inlineStr">
        <is>
          <t>23/03/2026</t>
        </is>
      </c>
      <c r="D157" s="6" t="inlineStr">
        <is>
          <t>GRUA MOVER MATERIAL #albañileria</t>
        </is>
      </c>
      <c r="E157" s="6" t="inlineStr">
        <is>
          <t>CONSYDECOR SL</t>
        </is>
      </c>
      <c r="F157" s="6" t="inlineStr">
        <is>
          <t>IMPUTADO</t>
        </is>
      </c>
      <c r="G157" s="4" t="n">
        <v>130</v>
      </c>
    </row>
    <row r="158">
      <c r="A158" s="6" t="inlineStr">
        <is>
          <t>24009 - FORMENTERA 12, JOAQUIN</t>
        </is>
      </c>
      <c r="B158" s="6" t="inlineStr">
        <is>
          <t>36548</t>
        </is>
      </c>
      <c r="C158" s="6" t="inlineStr">
        <is>
          <t>07/06/2026</t>
        </is>
      </c>
      <c r="D158" s="6" t="inlineStr">
        <is>
          <t>COLECTO ACOMETIDA</t>
        </is>
      </c>
      <c r="E158" s="6" t="inlineStr">
        <is>
          <t>SALTOKI ALICANTE SL.</t>
        </is>
      </c>
      <c r="F158" s="6" t="inlineStr">
        <is>
          <t>IMPUTADO</t>
        </is>
      </c>
      <c r="G158" s="4" t="n">
        <v>122.61</v>
      </c>
    </row>
    <row r="159">
      <c r="A159" s="6" t="inlineStr">
        <is>
          <t>24009 - FORMENTERA 12, JOAQUIN</t>
        </is>
      </c>
      <c r="B159" s="6" t="inlineStr">
        <is>
          <t>6400</t>
        </is>
      </c>
      <c r="C159" s="6" t="inlineStr">
        <is>
          <t>31/03/2026</t>
        </is>
      </c>
      <c r="D159" s="6" t="inlineStr">
        <is>
          <t>PORTES SALTOKI</t>
        </is>
      </c>
      <c r="E159" s="6" t="inlineStr">
        <is>
          <t>SALTOKI ELCHE SL.</t>
        </is>
      </c>
      <c r="F159" s="6" t="inlineStr">
        <is>
          <t>IMPUTADO</t>
        </is>
      </c>
      <c r="G159" s="4" t="n">
        <v>114.75</v>
      </c>
    </row>
    <row r="160">
      <c r="A160" s="6" t="inlineStr">
        <is>
          <t>24009 - FORMENTERA 12, JOAQUIN</t>
        </is>
      </c>
      <c r="B160" s="6" t="inlineStr">
        <is>
          <t>26 1498</t>
        </is>
      </c>
      <c r="C160" s="6" t="inlineStr">
        <is>
          <t>06/09/2026</t>
        </is>
      </c>
      <c r="D160" s="6" t="inlineStr">
        <is>
          <t>GRABA DECORATIVA</t>
        </is>
      </c>
      <c r="E160" s="6" t="inlineStr">
        <is>
          <t>FERMIN ESCOLANO TRITURATS SL</t>
        </is>
      </c>
      <c r="F160" s="6" t="inlineStr">
        <is>
          <t>IMPUTADO</t>
        </is>
      </c>
      <c r="G160" s="4" t="n">
        <v>105.03</v>
      </c>
    </row>
    <row r="161">
      <c r="A161" s="6" t="inlineStr">
        <is>
          <t>24009 - FORMENTERA 12, JOAQUIN</t>
        </is>
      </c>
      <c r="B161" s="6" t="inlineStr">
        <is>
          <t>A-26/0002694</t>
        </is>
      </c>
      <c r="C161" s="6" t="inlineStr">
        <is>
          <t>15/07/2026</t>
        </is>
      </c>
      <c r="D161" s="6" t="inlineStr">
        <is>
          <t>MATERIAL OBRA</t>
        </is>
      </c>
      <c r="E161" s="6" t="inlineStr">
        <is>
          <t>CONSYDECOR SL</t>
        </is>
      </c>
      <c r="F161" s="6" t="inlineStr">
        <is>
          <t>IMPUTADO</t>
        </is>
      </c>
      <c r="G161" s="4" t="n">
        <v>101.85</v>
      </c>
    </row>
    <row r="162">
      <c r="A162" s="6" t="inlineStr">
        <is>
          <t>24009 - FORMENTERA 12, JOAQUIN</t>
        </is>
      </c>
      <c r="B162" s="6" t="inlineStr">
        <is>
          <t>7300305504</t>
        </is>
      </c>
      <c r="C162" s="6" t="inlineStr">
        <is>
          <t>07/07/2026</t>
        </is>
      </c>
      <c r="D162" s="6" t="inlineStr">
        <is>
          <t>RAIL - MONTAJE</t>
        </is>
      </c>
      <c r="E162" s="6" t="inlineStr">
        <is>
          <t>SAINT GOBAIN IDAPLAC SL</t>
        </is>
      </c>
      <c r="F162" s="6" t="inlineStr">
        <is>
          <t>IMPUTADO</t>
        </is>
      </c>
      <c r="G162" s="4" t="n">
        <v>99.11</v>
      </c>
    </row>
    <row r="163">
      <c r="A163" s="6" t="inlineStr">
        <is>
          <t>24009 - FORMENTERA 12, JOAQUIN</t>
        </is>
      </c>
      <c r="B163" s="6" t="inlineStr">
        <is>
          <t>26/2526</t>
        </is>
      </c>
      <c r="C163" s="6" t="inlineStr">
        <is>
          <t>30/06/2026</t>
        </is>
      </c>
      <c r="D163" s="6" t="inlineStr">
        <is>
          <t>HORMIPRES RESINA HORMIGON</t>
        </is>
      </c>
      <c r="E163" s="6" t="inlineStr">
        <is>
          <t>SANZ BUILDING 2000 SL</t>
        </is>
      </c>
      <c r="F163" s="6" t="inlineStr">
        <is>
          <t>IMPUTADO</t>
        </is>
      </c>
      <c r="G163" s="4" t="n">
        <v>98</v>
      </c>
    </row>
    <row r="164">
      <c r="A164" s="6" t="inlineStr">
        <is>
          <t>24009 - FORMENTERA 12, JOAQUIN</t>
        </is>
      </c>
      <c r="B164" s="6" t="inlineStr">
        <is>
          <t>A-26/0000442</t>
        </is>
      </c>
      <c r="C164" s="6" t="inlineStr">
        <is>
          <t>15/02/2026</t>
        </is>
      </c>
      <c r="D164" s="6" t="inlineStr">
        <is>
          <t>MATERIAL OBRA #Albañileria-Material</t>
        </is>
      </c>
      <c r="E164" s="6" t="inlineStr">
        <is>
          <t>CONSYDECOR SL</t>
        </is>
      </c>
      <c r="F164" s="6" t="inlineStr">
        <is>
          <t>IMPUTADO</t>
        </is>
      </c>
      <c r="G164" s="4" t="n">
        <v>90.19</v>
      </c>
    </row>
    <row r="165">
      <c r="A165" s="6" t="inlineStr">
        <is>
          <t>24009 - FORMENTERA 12, JOAQUIN</t>
        </is>
      </c>
      <c r="B165" s="6" t="inlineStr">
        <is>
          <t>2965</t>
        </is>
      </c>
      <c r="C165" s="6" t="inlineStr">
        <is>
          <t>17/06/2026</t>
        </is>
      </c>
      <c r="D165" s="6" t="inlineStr">
        <is>
          <t>PINTURA</t>
        </is>
      </c>
      <c r="E165" s="6" t="inlineStr">
        <is>
          <t>DECOBRIC SANZ SL</t>
        </is>
      </c>
      <c r="F165" s="6" t="inlineStr">
        <is>
          <t>IMPUTADO</t>
        </is>
      </c>
      <c r="G165" s="4" t="n">
        <v>64.79000000000001</v>
      </c>
    </row>
    <row r="166">
      <c r="A166" s="6" t="inlineStr">
        <is>
          <t>24009 - FORMENTERA 12, JOAQUIN</t>
        </is>
      </c>
      <c r="B166" s="6" t="inlineStr">
        <is>
          <t>26/576</t>
        </is>
      </c>
      <c r="C166" s="6" t="inlineStr">
        <is>
          <t>24/07/2026</t>
        </is>
      </c>
      <c r="D166" s="6" t="inlineStr">
        <is>
          <t>MALLAZO JOAQUIN</t>
        </is>
      </c>
      <c r="E166" s="6" t="inlineStr">
        <is>
          <t>FERRALLAS MONFORTE DEL CID SL.</t>
        </is>
      </c>
      <c r="F166" s="6" t="inlineStr">
        <is>
          <t>IMPUTADO</t>
        </is>
      </c>
      <c r="G166" s="4" t="n">
        <v>60.72</v>
      </c>
    </row>
    <row r="167">
      <c r="A167" s="6" t="inlineStr">
        <is>
          <t>24009 - FORMENTERA 12, JOAQUIN</t>
        </is>
      </c>
      <c r="B167" s="6" t="inlineStr">
        <is>
          <t>2357</t>
        </is>
      </c>
      <c r="C167" s="6" t="inlineStr">
        <is>
          <t>19/05/2026</t>
        </is>
      </c>
      <c r="D167" s="6" t="inlineStr">
        <is>
          <t>PINTURA</t>
        </is>
      </c>
      <c r="E167" s="6" t="inlineStr">
        <is>
          <t>DECOBRIC SANZ SL</t>
        </is>
      </c>
      <c r="F167" s="6" t="inlineStr">
        <is>
          <t>IMPUTADO</t>
        </is>
      </c>
      <c r="G167" s="4" t="n">
        <v>53.13</v>
      </c>
    </row>
    <row r="168">
      <c r="A168" s="6" t="inlineStr">
        <is>
          <t>24009 - FORMENTERA 12, JOAQUIN</t>
        </is>
      </c>
      <c r="B168" s="6" t="inlineStr">
        <is>
          <t>2124</t>
        </is>
      </c>
      <c r="C168" s="6" t="inlineStr">
        <is>
          <t>11/05/2026</t>
        </is>
      </c>
      <c r="D168" s="6" t="inlineStr">
        <is>
          <t>MUESTRAS PINTURA</t>
        </is>
      </c>
      <c r="E168" s="6" t="inlineStr">
        <is>
          <t>DECOBRIC SANZ SL</t>
        </is>
      </c>
      <c r="F168" s="6" t="inlineStr">
        <is>
          <t>IMPUTADO</t>
        </is>
      </c>
      <c r="G168" s="4" t="n">
        <v>50.89</v>
      </c>
    </row>
    <row r="169">
      <c r="A169" s="6" t="inlineStr">
        <is>
          <t>24009 - FORMENTERA 12, JOAQUIN</t>
        </is>
      </c>
      <c r="B169" s="6" t="inlineStr">
        <is>
          <t>A-26/0001738</t>
        </is>
      </c>
      <c r="C169" s="6" t="inlineStr">
        <is>
          <t>15/05/2026</t>
        </is>
      </c>
      <c r="D169" s="6" t="inlineStr">
        <is>
          <t>MORTERO REFRACTARIO</t>
        </is>
      </c>
      <c r="E169" s="6" t="inlineStr">
        <is>
          <t>CONSYDECOR SL</t>
        </is>
      </c>
      <c r="F169" s="6" t="inlineStr">
        <is>
          <t>IMPUTADO</t>
        </is>
      </c>
      <c r="G169" s="4" t="n">
        <v>48.81</v>
      </c>
    </row>
    <row r="170">
      <c r="A170" s="6" t="inlineStr">
        <is>
          <t>24009 - FORMENTERA 12, JOAQUIN</t>
        </is>
      </c>
      <c r="B170" s="6" t="inlineStr">
        <is>
          <t>026-005-503303</t>
        </is>
      </c>
      <c r="C170" s="6" t="inlineStr">
        <is>
          <t>19/05/2026</t>
        </is>
      </c>
      <c r="D170" s="6" t="inlineStr">
        <is>
          <t>MATERIAL PINTURA</t>
        </is>
      </c>
      <c r="E170" s="6" t="inlineStr">
        <is>
          <t>BRICOLAJE BRICOMAN SLU</t>
        </is>
      </c>
      <c r="F170" s="6" t="inlineStr">
        <is>
          <t>IMPUTADO</t>
        </is>
      </c>
      <c r="G170" s="4" t="n">
        <v>45.91</v>
      </c>
    </row>
    <row r="171">
      <c r="A171" s="6" t="inlineStr">
        <is>
          <t>24009 - FORMENTERA 12, JOAQUIN</t>
        </is>
      </c>
      <c r="B171" s="6" t="inlineStr">
        <is>
          <t>67280</t>
        </is>
      </c>
      <c r="C171" s="6" t="inlineStr">
        <is>
          <t>30/09/2026</t>
        </is>
      </c>
      <c r="D171" s="6" t="inlineStr">
        <is>
          <t>DESAGÜE LAVABO</t>
        </is>
      </c>
      <c r="E171" s="6" t="inlineStr">
        <is>
          <t>SALTOKI ALICANTE SL.</t>
        </is>
      </c>
      <c r="F171" s="6" t="inlineStr">
        <is>
          <t>IMPUTADO</t>
        </is>
      </c>
      <c r="G171" s="4" t="n">
        <v>41.8</v>
      </c>
    </row>
    <row r="172">
      <c r="A172" s="6" t="inlineStr">
        <is>
          <t>24009 - FORMENTERA 12, JOAQUIN</t>
        </is>
      </c>
      <c r="B172" s="6" t="inlineStr">
        <is>
          <t>7300306828</t>
        </is>
      </c>
      <c r="C172" s="6" t="inlineStr">
        <is>
          <t>10/07/2026</t>
        </is>
      </c>
      <c r="D172" s="6" t="inlineStr">
        <is>
          <t>CARTON</t>
        </is>
      </c>
      <c r="E172" s="6" t="inlineStr">
        <is>
          <t>SAINT GOBAIN IDAPLAC SL</t>
        </is>
      </c>
      <c r="F172" s="6" t="inlineStr">
        <is>
          <t>IMPUTADO</t>
        </is>
      </c>
      <c r="G172" s="4" t="n">
        <v>40.36</v>
      </c>
    </row>
    <row r="173">
      <c r="A173" s="6" t="inlineStr">
        <is>
          <t>24009 - FORMENTERA 12, JOAQUIN</t>
        </is>
      </c>
      <c r="B173" s="6" t="inlineStr">
        <is>
          <t>FPRAL2606-03407</t>
        </is>
      </c>
      <c r="C173" s="6" t="inlineStr">
        <is>
          <t>19/06/2026</t>
        </is>
      </c>
      <c r="D173" s="6" t="inlineStr">
        <is>
          <t>PISON COMPACTADOR GASOLINA</t>
        </is>
      </c>
      <c r="E173" s="6" t="inlineStr">
        <is>
          <t>LOXAM ALQUILER DE MAQUINARIA SL.</t>
        </is>
      </c>
      <c r="F173" s="6" t="inlineStr">
        <is>
          <t>IMPUTADO</t>
        </is>
      </c>
      <c r="G173" s="4" t="n">
        <v>35.6</v>
      </c>
    </row>
    <row r="174">
      <c r="A174" s="6" t="inlineStr">
        <is>
          <t>24009 - FORMENTERA 12, JOAQUIN</t>
        </is>
      </c>
      <c r="B174" s="6" t="inlineStr">
        <is>
          <t>F268100664</t>
        </is>
      </c>
      <c r="C174" s="6" t="inlineStr">
        <is>
          <t>13/06/2026</t>
        </is>
      </c>
      <c r="D174" s="6" t="inlineStr">
        <is>
          <t>PRODUCTOS LIMPIEZA</t>
        </is>
      </c>
      <c r="E174" s="6" t="inlineStr">
        <is>
          <t>IDELLA PLACE SL.</t>
        </is>
      </c>
      <c r="F174" s="6" t="inlineStr">
        <is>
          <t>IMPUTADO</t>
        </is>
      </c>
      <c r="G174" s="4" t="n">
        <v>34.98</v>
      </c>
    </row>
    <row r="175">
      <c r="A175" s="6" t="inlineStr">
        <is>
          <t>24009 - FORMENTERA 12, JOAQUIN</t>
        </is>
      </c>
      <c r="B175" s="6" t="inlineStr">
        <is>
          <t>FV26-018622</t>
        </is>
      </c>
      <c r="C175" s="6" t="inlineStr">
        <is>
          <t>14/07/2026</t>
        </is>
      </c>
      <c r="D175" s="6" t="inlineStr">
        <is>
          <t>TAPA RELLENABLE</t>
        </is>
      </c>
      <c r="E175" s="6" t="inlineStr">
        <is>
          <t>HIJOS DE JOSE BUSQUIER SL</t>
        </is>
      </c>
      <c r="F175" s="6" t="inlineStr">
        <is>
          <t>IMPUTADO</t>
        </is>
      </c>
      <c r="G175" s="4" t="n">
        <v>30.75</v>
      </c>
    </row>
    <row r="176">
      <c r="A176" s="6" t="inlineStr">
        <is>
          <t>24009 - FORMENTERA 12, JOAQUIN</t>
        </is>
      </c>
      <c r="B176" s="6" t="inlineStr">
        <is>
          <t>26/3126</t>
        </is>
      </c>
      <c r="C176" s="6" t="inlineStr">
        <is>
          <t>31/07/2026</t>
        </is>
      </c>
      <c r="D176" s="6" t="inlineStr">
        <is>
          <t>PINTURA</t>
        </is>
      </c>
      <c r="E176" s="6" t="inlineStr">
        <is>
          <t>SANZ BUILDING 2000 SL</t>
        </is>
      </c>
      <c r="F176" s="6" t="inlineStr">
        <is>
          <t>IMPUTADO</t>
        </is>
      </c>
      <c r="G176" s="4" t="n">
        <v>28.99</v>
      </c>
    </row>
    <row r="177">
      <c r="A177" s="6" t="inlineStr">
        <is>
          <t>24009 - FORMENTERA 12, JOAQUIN</t>
        </is>
      </c>
      <c r="B177" s="6" t="inlineStr">
        <is>
          <t>7200444821</t>
        </is>
      </c>
      <c r="C177" s="6" t="inlineStr">
        <is>
          <t>30/06/2026</t>
        </is>
      </c>
      <c r="D177" s="6" t="inlineStr">
        <is>
          <t>MORTERO</t>
        </is>
      </c>
      <c r="E177" s="6" t="inlineStr">
        <is>
          <t>SAINT GOBAIN IDAPLAC SL</t>
        </is>
      </c>
      <c r="F177" s="6" t="inlineStr">
        <is>
          <t>IMPUTADO</t>
        </is>
      </c>
      <c r="G177" s="4" t="n">
        <v>27.57</v>
      </c>
    </row>
    <row r="178">
      <c r="A178" s="6" t="inlineStr">
        <is>
          <t>24009 - FORMENTERA 12, JOAQUIN</t>
        </is>
      </c>
      <c r="B178" s="6" t="inlineStr">
        <is>
          <t>FV26-019257</t>
        </is>
      </c>
      <c r="C178" s="6" t="inlineStr">
        <is>
          <t>21/07/2026</t>
        </is>
      </c>
      <c r="D178" s="6" t="inlineStr">
        <is>
          <t>REGISTRP GALVANIZADO</t>
        </is>
      </c>
      <c r="E178" s="6" t="inlineStr">
        <is>
          <t>HIJOS DE JOSE BUSQUIER SL</t>
        </is>
      </c>
      <c r="F178" s="6" t="inlineStr">
        <is>
          <t>IMPUTADO</t>
        </is>
      </c>
      <c r="G178" s="4" t="n">
        <v>25.45</v>
      </c>
    </row>
    <row r="179">
      <c r="A179" s="6" t="inlineStr">
        <is>
          <t>24009 - FORMENTERA 12, JOAQUIN</t>
        </is>
      </c>
      <c r="B179" s="6" t="inlineStr">
        <is>
          <t>2600706</t>
        </is>
      </c>
      <c r="C179" s="6" t="inlineStr">
        <is>
          <t>03/06/2026</t>
        </is>
      </c>
      <c r="D179" s="6" t="inlineStr">
        <is>
          <t>BROCAS HIERRO</t>
        </is>
      </c>
      <c r="E179" s="6" t="inlineStr"/>
      <c r="F179" s="6" t="inlineStr">
        <is>
          <t>IMPUTADO</t>
        </is>
      </c>
      <c r="G179" s="4" t="n">
        <v>20.17</v>
      </c>
    </row>
    <row r="180">
      <c r="A180" s="6" t="inlineStr">
        <is>
          <t>24009 - FORMENTERA 12, JOAQUIN</t>
        </is>
      </c>
      <c r="B180" s="6" t="inlineStr">
        <is>
          <t>062-0006-204604</t>
        </is>
      </c>
      <c r="C180" s="6" t="inlineStr">
        <is>
          <t>19/06/2026</t>
        </is>
      </c>
      <c r="D180" s="6" t="inlineStr">
        <is>
          <t>PVC DESAGÜES</t>
        </is>
      </c>
      <c r="E180" s="6" t="inlineStr">
        <is>
          <t>LEROY MERLIN ESPAÑA SL</t>
        </is>
      </c>
      <c r="F180" s="6" t="inlineStr">
        <is>
          <t>IMPUTADO</t>
        </is>
      </c>
      <c r="G180" s="4" t="n">
        <v>15.57</v>
      </c>
    </row>
    <row r="181">
      <c r="A181" s="6" t="inlineStr">
        <is>
          <t>24009 - FORMENTERA 12, JOAQUIN</t>
        </is>
      </c>
      <c r="B181" s="6" t="inlineStr">
        <is>
          <t>A-26/0002948</t>
        </is>
      </c>
      <c r="C181" s="6" t="inlineStr">
        <is>
          <t>31/07/2026</t>
        </is>
      </c>
      <c r="D181" s="6" t="inlineStr">
        <is>
          <t>PLADUR</t>
        </is>
      </c>
      <c r="E181" s="6" t="inlineStr">
        <is>
          <t>CONSYDECOR SL</t>
        </is>
      </c>
      <c r="F181" s="6" t="inlineStr">
        <is>
          <t>IMPUTADO</t>
        </is>
      </c>
      <c r="G181" s="4" t="n">
        <v>14.41</v>
      </c>
    </row>
    <row r="182">
      <c r="A182" s="6" t="inlineStr">
        <is>
          <t>24009 - FORMENTERA 12, JOAQUIN</t>
        </is>
      </c>
      <c r="B182" s="6" t="inlineStr">
        <is>
          <t>2600542</t>
        </is>
      </c>
      <c r="C182" s="6" t="inlineStr">
        <is>
          <t>08/05/2026</t>
        </is>
      </c>
      <c r="D182" s="6" t="inlineStr">
        <is>
          <t>TORNILLOS #fachada</t>
        </is>
      </c>
      <c r="E182" s="6" t="inlineStr"/>
      <c r="F182" s="6" t="inlineStr">
        <is>
          <t>IMPUTADO</t>
        </is>
      </c>
      <c r="G182" s="4" t="n">
        <v>14.4</v>
      </c>
    </row>
    <row r="183">
      <c r="A183" s="6" t="inlineStr">
        <is>
          <t>24009 - FORMENTERA 12, JOAQUIN</t>
        </is>
      </c>
      <c r="B183" s="6" t="inlineStr">
        <is>
          <t>2600425</t>
        </is>
      </c>
      <c r="C183" s="6" t="inlineStr">
        <is>
          <t>14/04/2026</t>
        </is>
      </c>
      <c r="D183" s="6" t="inlineStr">
        <is>
          <t>MATEIAL OBRA #albañileria</t>
        </is>
      </c>
      <c r="E183" s="6" t="inlineStr"/>
      <c r="F183" s="6" t="inlineStr">
        <is>
          <t>IMPUTADO</t>
        </is>
      </c>
      <c r="G183" s="4" t="n">
        <v>9.970000000000001</v>
      </c>
    </row>
    <row r="184">
      <c r="A184" s="6" t="inlineStr">
        <is>
          <t>24009 - FORMENTERA 12, JOAQUIN</t>
        </is>
      </c>
      <c r="B184" s="6" t="inlineStr">
        <is>
          <t>105-0006-340550</t>
        </is>
      </c>
      <c r="C184" s="6" t="inlineStr">
        <is>
          <t>05/06/2026</t>
        </is>
      </c>
      <c r="D184" s="6" t="inlineStr">
        <is>
          <t>SELLADOR</t>
        </is>
      </c>
      <c r="E184" s="6" t="inlineStr">
        <is>
          <t>LEROY MERLIN ESPAÑA SL</t>
        </is>
      </c>
      <c r="F184" s="6" t="inlineStr">
        <is>
          <t>IMPUTADO</t>
        </is>
      </c>
      <c r="G184" s="4" t="n">
        <v>8.92</v>
      </c>
    </row>
    <row r="185">
      <c r="A185" s="6" t="inlineStr">
        <is>
          <t>24009 - FORMENTERA 12, JOAQUIN</t>
        </is>
      </c>
      <c r="B185" s="6" t="inlineStr">
        <is>
          <t>3050210</t>
        </is>
      </c>
      <c r="C185" s="6" t="inlineStr">
        <is>
          <t>17/07/2026</t>
        </is>
      </c>
      <c r="D185" s="6" t="inlineStr">
        <is>
          <t>PLADUR</t>
        </is>
      </c>
      <c r="E185" s="6" t="inlineStr">
        <is>
          <t>FERRETERIA INDUSTRIAL CARRUS S.L.</t>
        </is>
      </c>
      <c r="F185" s="6" t="inlineStr">
        <is>
          <t>IMPUTADO</t>
        </is>
      </c>
      <c r="G185" s="4" t="n">
        <v>6.16</v>
      </c>
    </row>
    <row r="186">
      <c r="A186" s="6" t="inlineStr">
        <is>
          <t>24010 - LA ALBERCA</t>
        </is>
      </c>
      <c r="B186" s="6" t="inlineStr">
        <is>
          <t>39</t>
        </is>
      </c>
      <c r="C186" s="6" t="inlineStr">
        <is>
          <t>14/06/2026</t>
        </is>
      </c>
      <c r="D186" s="6" t="inlineStr">
        <is>
          <t>ELECTRICIDAD</t>
        </is>
      </c>
      <c r="E186" s="6" t="inlineStr"/>
      <c r="F186" s="6" t="inlineStr">
        <is>
          <t>IMPUTADO</t>
        </is>
      </c>
      <c r="G186" s="4" t="n">
        <v>3444.02</v>
      </c>
    </row>
    <row r="187">
      <c r="A187" s="6" t="inlineStr">
        <is>
          <t>24010 - LA ALBERCA</t>
        </is>
      </c>
      <c r="B187" s="6" t="inlineStr">
        <is>
          <t>00-000902/2026</t>
        </is>
      </c>
      <c r="C187" s="6" t="inlineStr">
        <is>
          <t>29/05/2026</t>
        </is>
      </c>
      <c r="D187" s="6" t="inlineStr">
        <is>
          <t>MATERIAL OBRA</t>
        </is>
      </c>
      <c r="E187" s="6" t="inlineStr">
        <is>
          <t>MATERIALES DE CONSTRUCCION EL CARACOLES SL</t>
        </is>
      </c>
      <c r="F187" s="6" t="inlineStr">
        <is>
          <t>IMPUTADO</t>
        </is>
      </c>
      <c r="G187" s="4" t="n">
        <v>3279.39</v>
      </c>
    </row>
    <row r="188">
      <c r="A188" s="6" t="inlineStr">
        <is>
          <t>24010 - LA ALBERCA</t>
        </is>
      </c>
      <c r="B188" s="6" t="inlineStr">
        <is>
          <t>A/6</t>
        </is>
      </c>
      <c r="C188" s="6" t="inlineStr">
        <is>
          <t>18/03/2026</t>
        </is>
      </c>
      <c r="D188" s="6" t="inlineStr">
        <is>
          <t>PALA EXCAVADORA</t>
        </is>
      </c>
      <c r="E188" s="6" t="inlineStr">
        <is>
          <t>FRANCISO JAVIER SERNA GALVEZ</t>
        </is>
      </c>
      <c r="F188" s="6" t="inlineStr">
        <is>
          <t>IMPUTADO</t>
        </is>
      </c>
      <c r="G188" s="4" t="n">
        <v>3250</v>
      </c>
    </row>
    <row r="189">
      <c r="A189" s="6" t="inlineStr">
        <is>
          <t>24010 - LA ALBERCA</t>
        </is>
      </c>
      <c r="B189" s="6" t="inlineStr">
        <is>
          <t>A/1</t>
        </is>
      </c>
      <c r="C189" s="6" t="inlineStr">
        <is>
          <t>23/01/2026</t>
        </is>
      </c>
      <c r="D189" s="6" t="inlineStr">
        <is>
          <t>PORTES LA ALBERCA</t>
        </is>
      </c>
      <c r="E189" s="6" t="inlineStr">
        <is>
          <t>FRANCISO JAVIER SERNA GALVEZ</t>
        </is>
      </c>
      <c r="F189" s="6" t="inlineStr">
        <is>
          <t>IMPUTADO</t>
        </is>
      </c>
      <c r="G189" s="4" t="n">
        <v>2980</v>
      </c>
    </row>
    <row r="190">
      <c r="A190" s="6" t="inlineStr">
        <is>
          <t>24010 - LA ALBERCA</t>
        </is>
      </c>
      <c r="B190" s="6" t="inlineStr">
        <is>
          <t>1758</t>
        </is>
      </c>
      <c r="C190" s="6" t="inlineStr">
        <is>
          <t>31/03/2026</t>
        </is>
      </c>
      <c r="D190" s="6" t="inlineStr">
        <is>
          <t>LLENADO LOSA #sotano</t>
        </is>
      </c>
      <c r="E190" s="6" t="inlineStr">
        <is>
          <t>GRUPO ALJEMA RELOSA SL.</t>
        </is>
      </c>
      <c r="F190" s="6" t="inlineStr">
        <is>
          <t>IMPUTADO</t>
        </is>
      </c>
      <c r="G190" s="4" t="n">
        <v>2772</v>
      </c>
    </row>
    <row r="191">
      <c r="A191" s="6" t="inlineStr">
        <is>
          <t>24010 - LA ALBERCA</t>
        </is>
      </c>
      <c r="B191" s="6" t="inlineStr">
        <is>
          <t>26/47</t>
        </is>
      </c>
      <c r="C191" s="6" t="inlineStr">
        <is>
          <t>23/01/2026</t>
        </is>
      </c>
      <c r="D191" s="6" t="inlineStr">
        <is>
          <t>FERRALLA LOSA</t>
        </is>
      </c>
      <c r="E191" s="6" t="inlineStr">
        <is>
          <t>FERRALLAS MONFORTE DEL CID SL.</t>
        </is>
      </c>
      <c r="F191" s="6" t="inlineStr">
        <is>
          <t>IMPUTADO</t>
        </is>
      </c>
      <c r="G191" s="4" t="n">
        <v>2492.96</v>
      </c>
    </row>
    <row r="192">
      <c r="A192" s="6" t="inlineStr">
        <is>
          <t>24010 - LA ALBERCA</t>
        </is>
      </c>
      <c r="B192" s="6" t="inlineStr">
        <is>
          <t>00-000646/2026</t>
        </is>
      </c>
      <c r="C192" s="6" t="inlineStr">
        <is>
          <t>29/04/2026</t>
        </is>
      </c>
      <c r="D192" s="6" t="inlineStr">
        <is>
          <t>GRESITE PISCINA Y MATERIAL</t>
        </is>
      </c>
      <c r="E192" s="6" t="inlineStr">
        <is>
          <t>MATERIALES DE CONSTRUCCION EL CARACOLES SL</t>
        </is>
      </c>
      <c r="F192" s="6" t="inlineStr">
        <is>
          <t>IMPUTADO</t>
        </is>
      </c>
      <c r="G192" s="4" t="n">
        <v>1633.85</v>
      </c>
    </row>
    <row r="193">
      <c r="A193" s="6" t="inlineStr">
        <is>
          <t>24010 - LA ALBERCA</t>
        </is>
      </c>
      <c r="B193" s="6" t="inlineStr">
        <is>
          <t>2786</t>
        </is>
      </c>
      <c r="C193" s="6" t="inlineStr">
        <is>
          <t>10/05/2026</t>
        </is>
      </c>
      <c r="D193" s="6" t="inlineStr">
        <is>
          <t>HORMIGON LOSA</t>
        </is>
      </c>
      <c r="E193" s="6" t="inlineStr">
        <is>
          <t>GRUPO ALJEMA RELOSA SL.</t>
        </is>
      </c>
      <c r="F193" s="6" t="inlineStr">
        <is>
          <t>IMPUTADO</t>
        </is>
      </c>
      <c r="G193" s="4" t="n">
        <v>1538.5</v>
      </c>
    </row>
    <row r="194">
      <c r="A194" s="6" t="inlineStr">
        <is>
          <t>24010 - LA ALBERCA</t>
        </is>
      </c>
      <c r="B194" s="6" t="inlineStr">
        <is>
          <t>00-000643/2026</t>
        </is>
      </c>
      <c r="C194" s="6" t="inlineStr">
        <is>
          <t>28/04/2026</t>
        </is>
      </c>
      <c r="D194" s="6" t="inlineStr">
        <is>
          <t>PVC Y MATERIAL OBRA</t>
        </is>
      </c>
      <c r="E194" s="6" t="inlineStr">
        <is>
          <t>MATERIALES DE CONSTRUCCION EL CARACOLES SL</t>
        </is>
      </c>
      <c r="F194" s="6" t="inlineStr">
        <is>
          <t>IMPUTADO</t>
        </is>
      </c>
      <c r="G194" s="4" t="n">
        <v>1511.51</v>
      </c>
    </row>
    <row r="195">
      <c r="A195" s="6" t="inlineStr">
        <is>
          <t>24010 - LA ALBERCA</t>
        </is>
      </c>
      <c r="B195" s="6" t="inlineStr">
        <is>
          <t>2447</t>
        </is>
      </c>
      <c r="C195" s="6" t="inlineStr">
        <is>
          <t>30/04/2026</t>
        </is>
      </c>
      <c r="D195" s="6" t="inlineStr">
        <is>
          <t>HORMIGÓN FORJADO H25 Y BOMBA</t>
        </is>
      </c>
      <c r="E195" s="6" t="inlineStr">
        <is>
          <t>GRUPO ALJEMA RELOSA SL.</t>
        </is>
      </c>
      <c r="F195" s="6" t="inlineStr">
        <is>
          <t>IMPUTADO</t>
        </is>
      </c>
      <c r="G195" s="4" t="n">
        <v>1508.5</v>
      </c>
    </row>
    <row r="196">
      <c r="A196" s="6" t="inlineStr">
        <is>
          <t>24010 - LA ALBERCA</t>
        </is>
      </c>
      <c r="B196" s="6" t="inlineStr">
        <is>
          <t>31/26</t>
        </is>
      </c>
      <c r="C196" s="6" t="inlineStr">
        <is>
          <t>25/05/2026</t>
        </is>
      </c>
      <c r="D196" s="6" t="inlineStr">
        <is>
          <t>FONTANERÍA</t>
        </is>
      </c>
      <c r="E196" s="6" t="inlineStr">
        <is>
          <t>FONTAFIX EAR</t>
        </is>
      </c>
      <c r="F196" s="6" t="inlineStr">
        <is>
          <t>IMPUTADO</t>
        </is>
      </c>
      <c r="G196" s="4" t="n">
        <v>1500</v>
      </c>
    </row>
    <row r="197">
      <c r="A197" s="6" t="inlineStr">
        <is>
          <t>24010 - LA ALBERCA</t>
        </is>
      </c>
      <c r="B197" s="6" t="inlineStr">
        <is>
          <t>613558</t>
        </is>
      </c>
      <c r="C197" s="6" t="inlineStr">
        <is>
          <t>18/05/2026</t>
        </is>
      </c>
      <c r="D197" s="6" t="inlineStr">
        <is>
          <t>PRESUPUESTO Nº 613558</t>
        </is>
      </c>
      <c r="E197" s="6" t="inlineStr">
        <is>
          <t>LEROY MERLIN ESPAÑA SL</t>
        </is>
      </c>
      <c r="F197" s="6" t="inlineStr">
        <is>
          <t>IMPUTADO</t>
        </is>
      </c>
      <c r="G197" s="4" t="n">
        <v>1476.24</v>
      </c>
    </row>
    <row r="198">
      <c r="A198" s="6" t="inlineStr">
        <is>
          <t>24010 - LA ALBERCA</t>
        </is>
      </c>
      <c r="B198" s="6" t="inlineStr">
        <is>
          <t>623752</t>
        </is>
      </c>
      <c r="C198" s="6" t="inlineStr">
        <is>
          <t>26/05/2026</t>
        </is>
      </c>
      <c r="D198" s="6" t="inlineStr">
        <is>
          <t>PRESUPUESTO Nº 623752</t>
        </is>
      </c>
      <c r="E198" s="6" t="inlineStr">
        <is>
          <t>LEROY MERLIN ESPAÑA SL</t>
        </is>
      </c>
      <c r="F198" s="6" t="inlineStr">
        <is>
          <t>IMPUTADO</t>
        </is>
      </c>
      <c r="G198" s="4" t="n">
        <v>1466.12</v>
      </c>
    </row>
    <row r="199">
      <c r="A199" s="6" t="inlineStr">
        <is>
          <t>24010 - LA ALBERCA</t>
        </is>
      </c>
      <c r="B199" s="6" t="inlineStr">
        <is>
          <t>26/310</t>
        </is>
      </c>
      <c r="C199" s="6" t="inlineStr">
        <is>
          <t>17/04/2026</t>
        </is>
      </c>
      <c r="D199" s="6" t="inlineStr">
        <is>
          <t>HIERRO #forjado sótano</t>
        </is>
      </c>
      <c r="E199" s="6" t="inlineStr">
        <is>
          <t>FERRALLAS MONFORTE DEL CID SL.</t>
        </is>
      </c>
      <c r="F199" s="6" t="inlineStr">
        <is>
          <t>IMPUTADO</t>
        </is>
      </c>
      <c r="G199" s="4" t="n">
        <v>1216</v>
      </c>
    </row>
    <row r="200">
      <c r="A200" s="6" t="inlineStr">
        <is>
          <t>24010 - LA ALBERCA</t>
        </is>
      </c>
      <c r="B200" s="6" t="inlineStr">
        <is>
          <t>G26.073</t>
        </is>
      </c>
      <c r="C200" s="6" t="inlineStr">
        <is>
          <t>31/05/2026</t>
        </is>
      </c>
      <c r="D200" s="6" t="inlineStr">
        <is>
          <t>GRUA (TIRAR GRAVA)</t>
        </is>
      </c>
      <c r="E200" s="6" t="inlineStr">
        <is>
          <t>GRUAS Y MAQUINARIA PETREL SL</t>
        </is>
      </c>
      <c r="F200" s="6" t="inlineStr">
        <is>
          <t>IMPUTADO</t>
        </is>
      </c>
      <c r="G200" s="4" t="n">
        <v>1137.5</v>
      </c>
    </row>
    <row r="201">
      <c r="A201" s="6" t="inlineStr">
        <is>
          <t>24010 - LA ALBERCA</t>
        </is>
      </c>
      <c r="B201" s="6" t="inlineStr">
        <is>
          <t>G26.059</t>
        </is>
      </c>
      <c r="C201" s="6" t="inlineStr">
        <is>
          <t>18/05/2026</t>
        </is>
      </c>
      <c r="D201" s="6" t="inlineStr">
        <is>
          <t>GRUA</t>
        </is>
      </c>
      <c r="E201" s="6" t="inlineStr">
        <is>
          <t>GRUAS Y MAQUINARIA PETREL SL</t>
        </is>
      </c>
      <c r="F201" s="6" t="inlineStr">
        <is>
          <t>IMPUTADO</t>
        </is>
      </c>
      <c r="G201" s="4" t="n">
        <v>1040</v>
      </c>
    </row>
    <row r="202">
      <c r="A202" s="6" t="inlineStr">
        <is>
          <t>24010 - LA ALBERCA</t>
        </is>
      </c>
      <c r="B202" s="6" t="inlineStr">
        <is>
          <t>G26.048</t>
        </is>
      </c>
      <c r="C202" s="6" t="inlineStr">
        <is>
          <t>30/04/2026</t>
        </is>
      </c>
      <c r="D202" s="6" t="inlineStr">
        <is>
          <t>GRUA</t>
        </is>
      </c>
      <c r="E202" s="6" t="inlineStr">
        <is>
          <t>GRUAS Y MAQUINARIA PETREL SL</t>
        </is>
      </c>
      <c r="F202" s="6" t="inlineStr">
        <is>
          <t>IMPUTADO</t>
        </is>
      </c>
      <c r="G202" s="4" t="n">
        <v>1040</v>
      </c>
    </row>
    <row r="203">
      <c r="A203" s="6" t="inlineStr">
        <is>
          <t>24010 - LA ALBERCA</t>
        </is>
      </c>
      <c r="B203" s="6" t="inlineStr">
        <is>
          <t>A/4</t>
        </is>
      </c>
      <c r="C203" s="6" t="inlineStr">
        <is>
          <t>02/02/2026</t>
        </is>
      </c>
      <c r="D203" s="6" t="inlineStr">
        <is>
          <t>FRAN EXCAVACIONES</t>
        </is>
      </c>
      <c r="E203" s="6" t="inlineStr">
        <is>
          <t>FRANCISO JAVIER SERNA GALVEZ</t>
        </is>
      </c>
      <c r="F203" s="6" t="inlineStr">
        <is>
          <t>IMPUTADO</t>
        </is>
      </c>
      <c r="G203" s="4" t="n">
        <v>900</v>
      </c>
    </row>
    <row r="204">
      <c r="A204" s="6" t="inlineStr">
        <is>
          <t>24010 - LA ALBERCA</t>
        </is>
      </c>
      <c r="B204" s="6" t="inlineStr">
        <is>
          <t>621346</t>
        </is>
      </c>
      <c r="C204" s="6" t="inlineStr">
        <is>
          <t>13/05/2026</t>
        </is>
      </c>
      <c r="D204" s="6" t="inlineStr">
        <is>
          <t>PRESUPUESTO 621346</t>
        </is>
      </c>
      <c r="E204" s="6" t="inlineStr">
        <is>
          <t>LEROY MERLIN ESPAÑA SL</t>
        </is>
      </c>
      <c r="F204" s="6" t="inlineStr">
        <is>
          <t>IMPUTADO</t>
        </is>
      </c>
      <c r="G204" s="4" t="n">
        <v>886.22</v>
      </c>
    </row>
    <row r="205">
      <c r="A205" s="6" t="inlineStr">
        <is>
          <t>24010 - LA ALBERCA</t>
        </is>
      </c>
      <c r="B205" s="6" t="inlineStr">
        <is>
          <t>601688</t>
        </is>
      </c>
      <c r="C205" s="6" t="inlineStr">
        <is>
          <t>27/02/2026</t>
        </is>
      </c>
      <c r="D205" s="6" t="inlineStr">
        <is>
          <t>LEROY MERLIN (PRESUPUESTO 601688)</t>
        </is>
      </c>
      <c r="E205" s="6" t="inlineStr">
        <is>
          <t>LEROY MERLIN ESPAÑA SL</t>
        </is>
      </c>
      <c r="F205" s="6" t="inlineStr">
        <is>
          <t>IMPUTADO</t>
        </is>
      </c>
      <c r="G205" s="4" t="n">
        <v>885.86</v>
      </c>
    </row>
    <row r="206">
      <c r="A206" s="6" t="inlineStr">
        <is>
          <t>24010 - LA ALBERCA</t>
        </is>
      </c>
      <c r="B206" s="6" t="inlineStr">
        <is>
          <t>00-000794/2026</t>
        </is>
      </c>
      <c r="C206" s="6" t="inlineStr">
        <is>
          <t>19/05/2026</t>
        </is>
      </c>
      <c r="D206" s="6" t="inlineStr">
        <is>
          <t>MATERIAL OBRA</t>
        </is>
      </c>
      <c r="E206" s="6" t="inlineStr">
        <is>
          <t>MATERIALES DE CONSTRUCCION EL CARACOLES SL</t>
        </is>
      </c>
      <c r="F206" s="6" t="inlineStr">
        <is>
          <t>IMPUTADO</t>
        </is>
      </c>
      <c r="G206" s="4" t="n">
        <v>824.63</v>
      </c>
    </row>
    <row r="207">
      <c r="A207" s="6" t="inlineStr">
        <is>
          <t>24010 - LA ALBERCA</t>
        </is>
      </c>
      <c r="B207" s="6" t="inlineStr">
        <is>
          <t>2202</t>
        </is>
      </c>
      <c r="C207" s="6" t="inlineStr">
        <is>
          <t>20/04/2026</t>
        </is>
      </c>
      <c r="D207" s="6" t="inlineStr">
        <is>
          <t>HORMIGON #relleno muro sótano</t>
        </is>
      </c>
      <c r="E207" s="6" t="inlineStr">
        <is>
          <t>GRUPO ALJEMA RELOSA SL.</t>
        </is>
      </c>
      <c r="F207" s="6" t="inlineStr">
        <is>
          <t>IMPUTADO</t>
        </is>
      </c>
      <c r="G207" s="4" t="n">
        <v>818</v>
      </c>
    </row>
    <row r="208">
      <c r="A208" s="6" t="inlineStr">
        <is>
          <t>24010 - LA ALBERCA</t>
        </is>
      </c>
      <c r="B208" s="6" t="inlineStr">
        <is>
          <t>1</t>
        </is>
      </c>
      <c r="C208" s="6" t="inlineStr">
        <is>
          <t>18/05/2026</t>
        </is>
      </c>
      <c r="D208" s="6" t="inlineStr">
        <is>
          <t>Wilson chapar gresite piscina</t>
        </is>
      </c>
      <c r="E208" s="6" t="inlineStr"/>
      <c r="F208" s="6" t="inlineStr">
        <is>
          <t>IMPUTADO</t>
        </is>
      </c>
      <c r="G208" s="4" t="n">
        <v>816</v>
      </c>
    </row>
    <row r="209">
      <c r="A209" s="6" t="inlineStr">
        <is>
          <t>24010 - LA ALBERCA</t>
        </is>
      </c>
      <c r="B209" s="6" t="inlineStr">
        <is>
          <t>616208</t>
        </is>
      </c>
      <c r="C209" s="6" t="inlineStr">
        <is>
          <t>15/04/2026</t>
        </is>
      </c>
      <c r="D209" s="6" t="inlineStr">
        <is>
          <t>PRESUPUESTO Nº 616208</t>
        </is>
      </c>
      <c r="E209" s="6" t="inlineStr">
        <is>
          <t>LEROY MERLIN ESPAÑA SL</t>
        </is>
      </c>
      <c r="F209" s="6" t="inlineStr">
        <is>
          <t>IMPUTADO</t>
        </is>
      </c>
      <c r="G209" s="4" t="n">
        <v>755.71</v>
      </c>
    </row>
    <row r="210">
      <c r="A210" s="6" t="inlineStr">
        <is>
          <t>24010 - LA ALBERCA</t>
        </is>
      </c>
      <c r="B210" s="6" t="inlineStr">
        <is>
          <t>20</t>
        </is>
      </c>
      <c r="C210" s="6" t="inlineStr">
        <is>
          <t>10/06/2026</t>
        </is>
      </c>
      <c r="D210" s="6" t="inlineStr">
        <is>
          <t>PULIDO SUELO SÓTANO</t>
        </is>
      </c>
      <c r="E210" s="6" t="inlineStr">
        <is>
          <t>JULIAN GRACIA RODRIGUEZ</t>
        </is>
      </c>
      <c r="F210" s="6" t="inlineStr">
        <is>
          <t>IMPUTADO</t>
        </is>
      </c>
      <c r="G210" s="4" t="n">
        <v>700</v>
      </c>
    </row>
    <row r="211">
      <c r="A211" s="6" t="inlineStr">
        <is>
          <t>24010 - LA ALBERCA</t>
        </is>
      </c>
      <c r="B211" s="6" t="inlineStr">
        <is>
          <t>00-000725/2026</t>
        </is>
      </c>
      <c r="C211" s="6" t="inlineStr">
        <is>
          <t>04/05/2026</t>
        </is>
      </c>
      <c r="D211" s="6" t="inlineStr">
        <is>
          <t>MATERIAL #pladur y albañileria</t>
        </is>
      </c>
      <c r="E211" s="6" t="inlineStr">
        <is>
          <t>MATERIALES DE CONSTRUCCION EL CARACOLES SL</t>
        </is>
      </c>
      <c r="F211" s="6" t="inlineStr">
        <is>
          <t>IMPUTADO</t>
        </is>
      </c>
      <c r="G211" s="4" t="n">
        <v>618.29</v>
      </c>
    </row>
    <row r="212">
      <c r="A212" s="6" t="inlineStr">
        <is>
          <t>24010 - LA ALBERCA</t>
        </is>
      </c>
      <c r="B212" s="6" t="inlineStr">
        <is>
          <t>G26.083</t>
        </is>
      </c>
      <c r="C212" s="6" t="inlineStr">
        <is>
          <t>30/06/2026</t>
        </is>
      </c>
      <c r="D212" s="6" t="inlineStr">
        <is>
          <t>GRUA</t>
        </is>
      </c>
      <c r="E212" s="6" t="inlineStr">
        <is>
          <t>GRUAS Y MAQUINARIA PETREL SL</t>
        </is>
      </c>
      <c r="F212" s="6" t="inlineStr">
        <is>
          <t>IMPUTADO</t>
        </is>
      </c>
      <c r="G212" s="4" t="n">
        <v>585</v>
      </c>
    </row>
    <row r="213">
      <c r="A213" s="6" t="inlineStr">
        <is>
          <t>24010 - LA ALBERCA</t>
        </is>
      </c>
      <c r="B213" s="6" t="inlineStr">
        <is>
          <t>G26.045</t>
        </is>
      </c>
      <c r="C213" s="6" t="inlineStr">
        <is>
          <t>21/04/2026</t>
        </is>
      </c>
      <c r="D213" s="6" t="inlineStr">
        <is>
          <t>GRUA</t>
        </is>
      </c>
      <c r="E213" s="6" t="inlineStr">
        <is>
          <t>GRUAS Y MAQUINARIA PETREL SL</t>
        </is>
      </c>
      <c r="F213" s="6" t="inlineStr">
        <is>
          <t>IMPUTADO</t>
        </is>
      </c>
      <c r="G213" s="4" t="n">
        <v>552.5</v>
      </c>
    </row>
    <row r="214">
      <c r="A214" s="6" t="inlineStr">
        <is>
          <t>24010 - LA ALBERCA</t>
        </is>
      </c>
      <c r="B214" s="6" t="inlineStr">
        <is>
          <t>G26.072</t>
        </is>
      </c>
      <c r="C214" s="6" t="inlineStr">
        <is>
          <t>31/05/2026</t>
        </is>
      </c>
      <c r="D214" s="6" t="inlineStr">
        <is>
          <t>GRUA</t>
        </is>
      </c>
      <c r="E214" s="6" t="inlineStr">
        <is>
          <t>GRUAS Y MAQUINARIA PETREL SL</t>
        </is>
      </c>
      <c r="F214" s="6" t="inlineStr">
        <is>
          <t>IMPUTADO</t>
        </is>
      </c>
      <c r="G214" s="4" t="n">
        <v>552</v>
      </c>
    </row>
    <row r="215">
      <c r="A215" s="6" t="inlineStr">
        <is>
          <t>24010 - LA ALBERCA</t>
        </is>
      </c>
      <c r="B215" s="6" t="inlineStr">
        <is>
          <t>A/11</t>
        </is>
      </c>
      <c r="C215" s="6" t="inlineStr">
        <is>
          <t>16/05/2026</t>
        </is>
      </c>
      <c r="D215" s="6" t="inlineStr">
        <is>
          <t>EXCAVACION</t>
        </is>
      </c>
      <c r="E215" s="6" t="inlineStr">
        <is>
          <t>FRANCISO JAVIER SERNA GALVEZ</t>
        </is>
      </c>
      <c r="F215" s="6" t="inlineStr">
        <is>
          <t>IMPUTADO</t>
        </is>
      </c>
      <c r="G215" s="4" t="n">
        <v>500</v>
      </c>
    </row>
    <row r="216">
      <c r="A216" s="6" t="inlineStr">
        <is>
          <t>24010 - LA ALBERCA</t>
        </is>
      </c>
      <c r="B216" s="6" t="inlineStr">
        <is>
          <t>G26.061</t>
        </is>
      </c>
      <c r="C216" s="6" t="inlineStr">
        <is>
          <t>18/05/2026</t>
        </is>
      </c>
      <c r="D216" s="6" t="inlineStr">
        <is>
          <t>GRUA</t>
        </is>
      </c>
      <c r="E216" s="6" t="inlineStr">
        <is>
          <t>GRUAS Y MAQUINARIA PETREL SL</t>
        </is>
      </c>
      <c r="F216" s="6" t="inlineStr">
        <is>
          <t>IMPUTADO</t>
        </is>
      </c>
      <c r="G216" s="4" t="n">
        <v>390</v>
      </c>
    </row>
    <row r="217">
      <c r="A217" s="6" t="inlineStr">
        <is>
          <t>24010 - LA ALBERCA</t>
        </is>
      </c>
      <c r="B217" s="6" t="inlineStr">
        <is>
          <t>3034</t>
        </is>
      </c>
      <c r="C217" s="6" t="inlineStr">
        <is>
          <t>20/05/2026</t>
        </is>
      </c>
      <c r="D217" s="6" t="inlineStr">
        <is>
          <t>LLENADO CORONA PISCINA</t>
        </is>
      </c>
      <c r="E217" s="6" t="inlineStr">
        <is>
          <t>GRUPO ALJEMA RELOSA SL.</t>
        </is>
      </c>
      <c r="F217" s="6" t="inlineStr">
        <is>
          <t>IMPUTADO</t>
        </is>
      </c>
      <c r="G217" s="4" t="n">
        <v>356.25</v>
      </c>
    </row>
    <row r="218">
      <c r="A218" s="6" t="inlineStr">
        <is>
          <t>24010 - LA ALBERCA</t>
        </is>
      </c>
      <c r="B218" s="6" t="inlineStr">
        <is>
          <t>347</t>
        </is>
      </c>
      <c r="C218" s="6" t="inlineStr">
        <is>
          <t>31/01/2026</t>
        </is>
      </c>
      <c r="D218" s="6" t="inlineStr">
        <is>
          <t>HORMIGÓN</t>
        </is>
      </c>
      <c r="E218" s="6" t="inlineStr">
        <is>
          <t>GRUPO ALJEMA RELOSA SL.</t>
        </is>
      </c>
      <c r="F218" s="6" t="inlineStr">
        <is>
          <t>IMPUTADO</t>
        </is>
      </c>
      <c r="G218" s="4" t="n">
        <v>316.5</v>
      </c>
    </row>
    <row r="219">
      <c r="A219" s="6" t="inlineStr">
        <is>
          <t>24010 - LA ALBERCA</t>
        </is>
      </c>
      <c r="B219" s="6" t="inlineStr">
        <is>
          <t>00-000725</t>
        </is>
      </c>
      <c r="C219" s="6" t="inlineStr">
        <is>
          <t>24/04/2026</t>
        </is>
      </c>
      <c r="D219" s="6" t="inlineStr">
        <is>
          <t>MATERIAL OBRA</t>
        </is>
      </c>
      <c r="E219" s="6" t="inlineStr">
        <is>
          <t>MATERIALES DE CONSTRUCCION EL CARACOLES SL</t>
        </is>
      </c>
      <c r="F219" s="6" t="inlineStr">
        <is>
          <t>IMPUTADO</t>
        </is>
      </c>
      <c r="G219" s="4" t="n">
        <v>230.76</v>
      </c>
    </row>
    <row r="220">
      <c r="A220" s="6" t="inlineStr">
        <is>
          <t>24010 - LA ALBERCA</t>
        </is>
      </c>
      <c r="B220" s="6" t="inlineStr">
        <is>
          <t>026-0005-510135</t>
        </is>
      </c>
      <c r="C220" s="6" t="inlineStr">
        <is>
          <t>27/05/2026</t>
        </is>
      </c>
      <c r="D220" s="6" t="inlineStr">
        <is>
          <t>MATERIALES</t>
        </is>
      </c>
      <c r="E220" s="6" t="inlineStr">
        <is>
          <t>BRICOLAJE BRICOMAN SLU</t>
        </is>
      </c>
      <c r="F220" s="6" t="inlineStr">
        <is>
          <t>IMPUTADO</t>
        </is>
      </c>
      <c r="G220" s="4" t="n">
        <v>201.1</v>
      </c>
    </row>
    <row r="221">
      <c r="A221" s="6" t="inlineStr">
        <is>
          <t>24010 - LA ALBERCA</t>
        </is>
      </c>
      <c r="B221" s="6" t="inlineStr">
        <is>
          <t>33/26</t>
        </is>
      </c>
      <c r="C221" s="6" t="inlineStr">
        <is>
          <t>08/06/2026</t>
        </is>
      </c>
      <c r="D221" s="6" t="inlineStr">
        <is>
          <t>FONTANERÍA</t>
        </is>
      </c>
      <c r="E221" s="6" t="inlineStr">
        <is>
          <t>FONTAFIX EAR</t>
        </is>
      </c>
      <c r="F221" s="6" t="inlineStr">
        <is>
          <t>IMPUTADO</t>
        </is>
      </c>
      <c r="G221" s="4" t="n">
        <v>200</v>
      </c>
    </row>
    <row r="222">
      <c r="A222" s="6" t="inlineStr">
        <is>
          <t>24010 - LA ALBERCA</t>
        </is>
      </c>
      <c r="B222" s="6" t="inlineStr">
        <is>
          <t>621460</t>
        </is>
      </c>
      <c r="C222" s="6" t="inlineStr">
        <is>
          <t>14/05/2026</t>
        </is>
      </c>
      <c r="D222" s="6" t="inlineStr">
        <is>
          <t>PRESUPUESTO Nº 621460</t>
        </is>
      </c>
      <c r="E222" s="6" t="inlineStr">
        <is>
          <t>LEROY MERLIN ESPAÑA SL</t>
        </is>
      </c>
      <c r="F222" s="6" t="inlineStr">
        <is>
          <t>IMPUTADO</t>
        </is>
      </c>
      <c r="G222" s="4" t="n">
        <v>191.74</v>
      </c>
    </row>
    <row r="223">
      <c r="A223" s="6" t="inlineStr">
        <is>
          <t>24010 - LA ALBERCA</t>
        </is>
      </c>
      <c r="B223" s="6" t="inlineStr">
        <is>
          <t>G26.062</t>
        </is>
      </c>
      <c r="C223" s="6" t="inlineStr">
        <is>
          <t>18/05/2026</t>
        </is>
      </c>
      <c r="D223" s="6" t="inlineStr">
        <is>
          <t>GRUA</t>
        </is>
      </c>
      <c r="E223" s="6" t="inlineStr">
        <is>
          <t>GRUAS Y MAQUINARIA PETREL SL</t>
        </is>
      </c>
      <c r="F223" s="6" t="inlineStr">
        <is>
          <t>IMPUTADO</t>
        </is>
      </c>
      <c r="G223" s="4" t="n">
        <v>162.5</v>
      </c>
    </row>
    <row r="224">
      <c r="A224" s="6" t="inlineStr">
        <is>
          <t>24010 - LA ALBERCA</t>
        </is>
      </c>
      <c r="B224" s="6" t="inlineStr">
        <is>
          <t>4735749690</t>
        </is>
      </c>
      <c r="C224" s="6" t="inlineStr">
        <is>
          <t>24/04/2026</t>
        </is>
      </c>
      <c r="D224" s="6" t="inlineStr">
        <is>
          <t>MAQUINARIA</t>
        </is>
      </c>
      <c r="E224" s="6" t="inlineStr">
        <is>
          <t>WURTH ESPAÑA SA</t>
        </is>
      </c>
      <c r="F224" s="6" t="inlineStr">
        <is>
          <t>IMPUTADO</t>
        </is>
      </c>
      <c r="G224" s="4" t="n">
        <v>153.12</v>
      </c>
    </row>
    <row r="225">
      <c r="A225" s="6" t="inlineStr">
        <is>
          <t>24010 - LA ALBERCA</t>
        </is>
      </c>
      <c r="B225" s="6" t="inlineStr">
        <is>
          <t>00-000993/2026</t>
        </is>
      </c>
      <c r="C225" s="6" t="inlineStr">
        <is>
          <t>16/06/2026</t>
        </is>
      </c>
      <c r="D225" s="6" t="inlineStr">
        <is>
          <t>MATERIALES</t>
        </is>
      </c>
      <c r="E225" s="6" t="inlineStr">
        <is>
          <t>MATERIALES DE CONSTRUCCION EL CARACOLES SL</t>
        </is>
      </c>
      <c r="F225" s="6" t="inlineStr">
        <is>
          <t>IMPUTADO</t>
        </is>
      </c>
      <c r="G225" s="4" t="n">
        <v>139.43</v>
      </c>
    </row>
    <row r="226">
      <c r="A226" s="6" t="inlineStr">
        <is>
          <t>24010 - LA ALBERCA</t>
        </is>
      </c>
      <c r="B226" s="6" t="inlineStr">
        <is>
          <t>105-006-339957</t>
        </is>
      </c>
      <c r="C226" s="6" t="inlineStr">
        <is>
          <t>02/06/2026</t>
        </is>
      </c>
      <c r="D226" s="6" t="inlineStr">
        <is>
          <t>PUESTA EN MARCHA PISCINA</t>
        </is>
      </c>
      <c r="E226" s="6" t="inlineStr">
        <is>
          <t>LEROY MERLIN ESPAÑA SL</t>
        </is>
      </c>
      <c r="F226" s="6" t="inlineStr">
        <is>
          <t>IMPUTADO</t>
        </is>
      </c>
      <c r="G226" s="4" t="n">
        <v>132.11</v>
      </c>
    </row>
    <row r="227">
      <c r="A227" s="6" t="inlineStr">
        <is>
          <t>24010 - LA ALBERCA</t>
        </is>
      </c>
      <c r="B227" s="6" t="inlineStr">
        <is>
          <t>026-0006-515778</t>
        </is>
      </c>
      <c r="C227" s="6" t="inlineStr">
        <is>
          <t>03/06/2026</t>
        </is>
      </c>
      <c r="D227" s="6" t="inlineStr">
        <is>
          <t>PINTURA PLADUR</t>
        </is>
      </c>
      <c r="E227" s="6" t="inlineStr">
        <is>
          <t>BRICOLAJE BRICOMAN SLU</t>
        </is>
      </c>
      <c r="F227" s="6" t="inlineStr">
        <is>
          <t>IMPUTADO</t>
        </is>
      </c>
      <c r="G227" s="4" t="n">
        <v>127.35</v>
      </c>
    </row>
    <row r="228">
      <c r="A228" s="6" t="inlineStr">
        <is>
          <t>24010 - LA ALBERCA</t>
        </is>
      </c>
      <c r="B228" s="6" t="inlineStr">
        <is>
          <t>FV26-02893</t>
        </is>
      </c>
      <c r="C228" s="6" t="inlineStr">
        <is>
          <t>15/06/2026</t>
        </is>
      </c>
      <c r="D228" s="6" t="inlineStr">
        <is>
          <t>GRAVIN</t>
        </is>
      </c>
      <c r="E228" s="6" t="inlineStr">
        <is>
          <t>LA AVENIDA CERAMICAS SL.</t>
        </is>
      </c>
      <c r="F228" s="6" t="inlineStr">
        <is>
          <t>IMPUTADO</t>
        </is>
      </c>
      <c r="G228" s="4" t="n">
        <v>120</v>
      </c>
    </row>
    <row r="229">
      <c r="A229" s="6" t="inlineStr">
        <is>
          <t>24010 - LA ALBERCA</t>
        </is>
      </c>
      <c r="B229" s="6" t="inlineStr">
        <is>
          <t>026-0006-516703</t>
        </is>
      </c>
      <c r="C229" s="6" t="inlineStr">
        <is>
          <t>04/06/2026</t>
        </is>
      </c>
      <c r="D229" s="6" t="inlineStr">
        <is>
          <t>MATERIAL</t>
        </is>
      </c>
      <c r="E229" s="6" t="inlineStr">
        <is>
          <t>BRICOLAJE BRICOMAN SLU</t>
        </is>
      </c>
      <c r="F229" s="6" t="inlineStr">
        <is>
          <t>IMPUTADO</t>
        </is>
      </c>
      <c r="G229" s="4" t="n">
        <v>118.55</v>
      </c>
    </row>
    <row r="230">
      <c r="A230" s="6" t="inlineStr">
        <is>
          <t>24010 - LA ALBERCA</t>
        </is>
      </c>
      <c r="B230" s="6" t="inlineStr">
        <is>
          <t>2026-0025</t>
        </is>
      </c>
      <c r="C230" s="6" t="inlineStr">
        <is>
          <t>06/06/2026</t>
        </is>
      </c>
      <c r="D230" s="6" t="inlineStr">
        <is>
          <t>LLENADO PISCINA</t>
        </is>
      </c>
      <c r="E230" s="6" t="inlineStr">
        <is>
          <t>AGUAS TERSAN SL.</t>
        </is>
      </c>
      <c r="F230" s="6" t="inlineStr">
        <is>
          <t>IMPUTADO</t>
        </is>
      </c>
      <c r="G230" s="4" t="n">
        <v>95</v>
      </c>
    </row>
    <row r="231">
      <c r="A231" s="6" t="inlineStr">
        <is>
          <t>24010 - LA ALBERCA</t>
        </is>
      </c>
      <c r="B231" s="6" t="inlineStr">
        <is>
          <t>00-000591/2026</t>
        </is>
      </c>
      <c r="C231" s="6" t="inlineStr">
        <is>
          <t>16/04/2026</t>
        </is>
      </c>
      <c r="D231" s="6" t="inlineStr">
        <is>
          <t>MATERIAL OBRA</t>
        </is>
      </c>
      <c r="E231" s="6" t="inlineStr">
        <is>
          <t>MATERIALES DE CONSTRUCCION EL CARACOLES SL</t>
        </is>
      </c>
      <c r="F231" s="6" t="inlineStr">
        <is>
          <t>IMPUTADO</t>
        </is>
      </c>
      <c r="G231" s="4" t="n">
        <v>93.2</v>
      </c>
    </row>
    <row r="232">
      <c r="A232" s="6" t="inlineStr">
        <is>
          <t>24010 - LA ALBERCA</t>
        </is>
      </c>
      <c r="B232" s="6" t="inlineStr">
        <is>
          <t>00-000216/2026</t>
        </is>
      </c>
      <c r="C232" s="6" t="inlineStr">
        <is>
          <t>17/02/2026</t>
        </is>
      </c>
      <c r="D232" s="6" t="inlineStr">
        <is>
          <t>DESAGÜES PVC</t>
        </is>
      </c>
      <c r="E232" s="6" t="inlineStr">
        <is>
          <t>MATERIALES DE CONSTRUCCION EL CARACOLES SL</t>
        </is>
      </c>
      <c r="F232" s="6" t="inlineStr">
        <is>
          <t>IMPUTADO</t>
        </is>
      </c>
      <c r="G232" s="4" t="n">
        <v>92.26000000000001</v>
      </c>
    </row>
    <row r="233">
      <c r="A233" s="6" t="inlineStr">
        <is>
          <t>24010 - LA ALBERCA</t>
        </is>
      </c>
      <c r="B233" s="6" t="inlineStr">
        <is>
          <t>105-0005-338031</t>
        </is>
      </c>
      <c r="C233" s="6" t="inlineStr">
        <is>
          <t>22/05/2026</t>
        </is>
      </c>
      <c r="D233" s="6" t="inlineStr">
        <is>
          <t>PLADUR</t>
        </is>
      </c>
      <c r="E233" s="6" t="inlineStr">
        <is>
          <t>LEROY MERLIN ESPAÑA SL</t>
        </is>
      </c>
      <c r="F233" s="6" t="inlineStr">
        <is>
          <t>IMPUTADO</t>
        </is>
      </c>
      <c r="G233" s="4" t="n">
        <v>74.38</v>
      </c>
    </row>
    <row r="234">
      <c r="A234" s="6" t="inlineStr">
        <is>
          <t>24010 - LA ALBERCA</t>
        </is>
      </c>
      <c r="B234" s="6" t="inlineStr">
        <is>
          <t>INV/2026/00067</t>
        </is>
      </c>
      <c r="C234" s="6" t="inlineStr">
        <is>
          <t>18/03/2026</t>
        </is>
      </c>
      <c r="D234" s="6" t="inlineStr">
        <is>
          <t>PLASTICO CIMENTACION</t>
        </is>
      </c>
      <c r="E234" s="6" t="inlineStr">
        <is>
          <t>JUAN JOSÉ MUÑOZ ROBLES</t>
        </is>
      </c>
      <c r="F234" s="6" t="inlineStr">
        <is>
          <t>IMPUTADO</t>
        </is>
      </c>
      <c r="G234" s="4" t="n">
        <v>72</v>
      </c>
    </row>
    <row r="235">
      <c r="A235" s="6" t="inlineStr">
        <is>
          <t>24010 - LA ALBERCA</t>
        </is>
      </c>
      <c r="B235" s="6" t="inlineStr">
        <is>
          <t>00-000727/2026</t>
        </is>
      </c>
      <c r="C235" s="6" t="inlineStr">
        <is>
          <t>05/05/2026</t>
        </is>
      </c>
      <c r="D235" s="6" t="inlineStr">
        <is>
          <t>MATERIAL OBRA</t>
        </is>
      </c>
      <c r="E235" s="6" t="inlineStr">
        <is>
          <t>MATERIALES DE CONSTRUCCION EL CARACOLES SL</t>
        </is>
      </c>
      <c r="F235" s="6" t="inlineStr">
        <is>
          <t>IMPUTADO</t>
        </is>
      </c>
      <c r="G235" s="4" t="n">
        <v>71.8</v>
      </c>
    </row>
    <row r="236">
      <c r="A236" s="6" t="inlineStr">
        <is>
          <t>24010 - LA ALBERCA</t>
        </is>
      </c>
      <c r="B236" s="6" t="inlineStr">
        <is>
          <t>00-000218/2026</t>
        </is>
      </c>
      <c r="C236" s="6" t="inlineStr">
        <is>
          <t>17/02/2026</t>
        </is>
      </c>
      <c r="D236" s="6" t="inlineStr">
        <is>
          <t>DESAGÜES PVC</t>
        </is>
      </c>
      <c r="E236" s="6" t="inlineStr">
        <is>
          <t>MATERIALES DE CONSTRUCCION EL CARACOLES SL</t>
        </is>
      </c>
      <c r="F236" s="6" t="inlineStr">
        <is>
          <t>IMPUTADO</t>
        </is>
      </c>
      <c r="G236" s="4" t="n">
        <v>70.73</v>
      </c>
    </row>
    <row r="237">
      <c r="A237" s="6" t="inlineStr">
        <is>
          <t>24010 - LA ALBERCA</t>
        </is>
      </c>
      <c r="B237" s="6" t="inlineStr">
        <is>
          <t>026-52-07/0008060</t>
        </is>
      </c>
      <c r="C237" s="6" t="inlineStr">
        <is>
          <t>28/05/2026</t>
        </is>
      </c>
      <c r="D237" s="6" t="inlineStr">
        <is>
          <t>ARQUETAS PLASTICO</t>
        </is>
      </c>
      <c r="E237" s="6" t="inlineStr">
        <is>
          <t>BRICOLAJE BRICOMAN SLU</t>
        </is>
      </c>
      <c r="F237" s="6" t="inlineStr">
        <is>
          <t>IMPUTADO</t>
        </is>
      </c>
      <c r="G237" s="4" t="n">
        <v>70.09</v>
      </c>
    </row>
    <row r="238">
      <c r="A238" s="6" t="inlineStr">
        <is>
          <t>24010 - LA ALBERCA</t>
        </is>
      </c>
      <c r="B238" s="6" t="inlineStr">
        <is>
          <t>105-0006-340306</t>
        </is>
      </c>
      <c r="C238" s="6" t="inlineStr">
        <is>
          <t>04/06/2026</t>
        </is>
      </c>
      <c r="D238" s="6" t="inlineStr">
        <is>
          <t>MATERIAL OBRA</t>
        </is>
      </c>
      <c r="E238" s="6" t="inlineStr">
        <is>
          <t>LEROY MERLIN ESPAÑA SL</t>
        </is>
      </c>
      <c r="F238" s="6" t="inlineStr">
        <is>
          <t>IMPUTADO</t>
        </is>
      </c>
      <c r="G238" s="4" t="n">
        <v>38.73</v>
      </c>
    </row>
    <row r="239">
      <c r="A239" s="6" t="inlineStr">
        <is>
          <t>24010 - LA ALBERCA</t>
        </is>
      </c>
      <c r="B239" s="6" t="inlineStr">
        <is>
          <t>1 00370</t>
        </is>
      </c>
      <c r="C239" s="6" t="inlineStr">
        <is>
          <t>22/04/2026</t>
        </is>
      </c>
      <c r="D239" s="6" t="inlineStr">
        <is>
          <t>MATERIAL OBRA</t>
        </is>
      </c>
      <c r="E239" s="6" t="inlineStr">
        <is>
          <t>UNICO CM SL.</t>
        </is>
      </c>
      <c r="F239" s="6" t="inlineStr">
        <is>
          <t>IMPUTADO</t>
        </is>
      </c>
      <c r="G239" s="4" t="n">
        <v>30.8</v>
      </c>
    </row>
    <row r="240">
      <c r="A240" s="6" t="inlineStr">
        <is>
          <t>24010 - LA ALBERCA</t>
        </is>
      </c>
      <c r="B240" s="6" t="inlineStr">
        <is>
          <t>1 000370</t>
        </is>
      </c>
      <c r="C240" s="6" t="inlineStr">
        <is>
          <t>22/04/2026</t>
        </is>
      </c>
      <c r="D240" s="6" t="inlineStr">
        <is>
          <t>MATERIAL OBRA</t>
        </is>
      </c>
      <c r="E240" s="6" t="inlineStr">
        <is>
          <t>UNICO CM SL.</t>
        </is>
      </c>
      <c r="F240" s="6" t="inlineStr">
        <is>
          <t>IMPUTADO</t>
        </is>
      </c>
      <c r="G240" s="4" t="n">
        <v>30.8</v>
      </c>
    </row>
    <row r="241">
      <c r="A241" s="6" t="inlineStr">
        <is>
          <t>24010 - LA ALBERCA</t>
        </is>
      </c>
      <c r="B241" s="6" t="inlineStr">
        <is>
          <t>105-0005-337328</t>
        </is>
      </c>
      <c r="C241" s="6" t="inlineStr">
        <is>
          <t>18/05/2026</t>
        </is>
      </c>
      <c r="D241" s="6" t="inlineStr">
        <is>
          <t>PLADUR HABITACION</t>
        </is>
      </c>
      <c r="E241" s="6" t="inlineStr">
        <is>
          <t>LEROY MERLIN ESPAÑA SL</t>
        </is>
      </c>
      <c r="F241" s="6" t="inlineStr">
        <is>
          <t>IMPUTADO</t>
        </is>
      </c>
      <c r="G241" s="4" t="n">
        <v>27.56</v>
      </c>
    </row>
    <row r="242">
      <c r="A242" s="6" t="inlineStr">
        <is>
          <t>24010 - LA ALBERCA</t>
        </is>
      </c>
      <c r="B242" s="6" t="inlineStr">
        <is>
          <t>026-51-07/0008723</t>
        </is>
      </c>
      <c r="C242" s="6" t="inlineStr">
        <is>
          <t>04/06/2026</t>
        </is>
      </c>
      <c r="D242" s="6" t="inlineStr">
        <is>
          <t>PINTURA</t>
        </is>
      </c>
      <c r="E242" s="6" t="inlineStr">
        <is>
          <t>BRICOLAJE BRICOMAN SLU</t>
        </is>
      </c>
      <c r="F242" s="6" t="inlineStr">
        <is>
          <t>IMPUTADO</t>
        </is>
      </c>
      <c r="G242" s="4" t="n">
        <v>26.86</v>
      </c>
    </row>
    <row r="243">
      <c r="A243" s="6" t="inlineStr">
        <is>
          <t>24010 - LA ALBERCA</t>
        </is>
      </c>
      <c r="B243" s="6" t="inlineStr">
        <is>
          <t>026-0006-513975</t>
        </is>
      </c>
      <c r="C243" s="6" t="inlineStr">
        <is>
          <t>01/06/2026</t>
        </is>
      </c>
      <c r="D243" s="6" t="inlineStr">
        <is>
          <t>DESAGÜES</t>
        </is>
      </c>
      <c r="E243" s="6" t="inlineStr">
        <is>
          <t>BRICOLAJE BRICOMAN SLU</t>
        </is>
      </c>
      <c r="F243" s="6" t="inlineStr">
        <is>
          <t>IMPUTADO</t>
        </is>
      </c>
      <c r="G243" s="4" t="n">
        <v>22.77</v>
      </c>
    </row>
    <row r="244">
      <c r="A244" s="6" t="inlineStr">
        <is>
          <t>24010 - LA ALBERCA</t>
        </is>
      </c>
      <c r="B244" s="6" t="inlineStr">
        <is>
          <t>062-0005-191421</t>
        </is>
      </c>
      <c r="C244" s="6" t="inlineStr">
        <is>
          <t>28/05/2026</t>
        </is>
      </c>
      <c r="D244" s="6" t="inlineStr">
        <is>
          <t>MATERAL OBRA</t>
        </is>
      </c>
      <c r="E244" s="6" t="inlineStr">
        <is>
          <t>LEROY MERLIN ESPAÑA SL</t>
        </is>
      </c>
      <c r="F244" s="6" t="inlineStr">
        <is>
          <t>IMPUTADO</t>
        </is>
      </c>
      <c r="G244" s="4" t="n">
        <v>19.34</v>
      </c>
    </row>
    <row r="245">
      <c r="A245" s="6" t="inlineStr">
        <is>
          <t>24010 - LA ALBERCA</t>
        </is>
      </c>
      <c r="B245" s="6" t="inlineStr">
        <is>
          <t>026-0001-401807</t>
        </is>
      </c>
      <c r="C245" s="6" t="inlineStr">
        <is>
          <t>12/01/2026</t>
        </is>
      </c>
      <c r="D245" s="6" t="inlineStr">
        <is>
          <t>YESO CANTONERAS</t>
        </is>
      </c>
      <c r="E245" s="6" t="inlineStr">
        <is>
          <t>BRICOLAJE BRICOMAN SLU</t>
        </is>
      </c>
      <c r="F245" s="6" t="inlineStr">
        <is>
          <t>IMPUTADO</t>
        </is>
      </c>
      <c r="G245" s="4" t="n">
        <v>17.1</v>
      </c>
    </row>
    <row r="246">
      <c r="A246" s="6" t="inlineStr">
        <is>
          <t>24010 - LA ALBERCA</t>
        </is>
      </c>
      <c r="B246" s="6" t="inlineStr">
        <is>
          <t>105-0005-339207</t>
        </is>
      </c>
      <c r="C246" s="6" t="inlineStr">
        <is>
          <t>29/05/2026</t>
        </is>
      </c>
      <c r="D246" s="6" t="inlineStr">
        <is>
          <t>PASTA PLADUR</t>
        </is>
      </c>
      <c r="E246" s="6" t="inlineStr">
        <is>
          <t>LEROY MERLIN ESPAÑA SL</t>
        </is>
      </c>
      <c r="F246" s="6" t="inlineStr">
        <is>
          <t>IMPUTADO</t>
        </is>
      </c>
      <c r="G246" s="4" t="n">
        <v>16.58</v>
      </c>
    </row>
    <row r="247">
      <c r="A247" s="6" t="inlineStr">
        <is>
          <t>24010 - LA ALBERCA</t>
        </is>
      </c>
      <c r="B247" s="6" t="inlineStr">
        <is>
          <t>105-0006-339914</t>
        </is>
      </c>
      <c r="C247" s="6" t="inlineStr">
        <is>
          <t>02/06/2026</t>
        </is>
      </c>
      <c r="D247" s="6" t="inlineStr">
        <is>
          <t>PINTURA</t>
        </is>
      </c>
      <c r="E247" s="6" t="inlineStr">
        <is>
          <t>LEROY MERLIN ESPAÑA SL</t>
        </is>
      </c>
      <c r="F247" s="6" t="inlineStr">
        <is>
          <t>IMPUTADO</t>
        </is>
      </c>
      <c r="G247" s="4" t="n">
        <v>16.07</v>
      </c>
    </row>
    <row r="248">
      <c r="A248" s="6" t="inlineStr">
        <is>
          <t>24010 - LA ALBERCA</t>
        </is>
      </c>
      <c r="B248" s="6" t="inlineStr">
        <is>
          <t>026-0001-397477</t>
        </is>
      </c>
      <c r="C248" s="6" t="inlineStr">
        <is>
          <t>07/01/2026</t>
        </is>
      </c>
      <c r="D248" s="6" t="inlineStr">
        <is>
          <t>MONOCAPA</t>
        </is>
      </c>
      <c r="E248" s="6" t="inlineStr">
        <is>
          <t>BRICOLAJE BRICOMAN SLU</t>
        </is>
      </c>
      <c r="F248" s="6" t="inlineStr">
        <is>
          <t>IMPUTADO</t>
        </is>
      </c>
      <c r="G248" s="4" t="n">
        <v>15.74</v>
      </c>
    </row>
    <row r="249">
      <c r="A249" s="6" t="inlineStr">
        <is>
          <t>24010 - LA ALBERCA</t>
        </is>
      </c>
      <c r="B249" s="6" t="inlineStr">
        <is>
          <t>105-0006-340377</t>
        </is>
      </c>
      <c r="C249" s="6" t="inlineStr">
        <is>
          <t>04/06/2026</t>
        </is>
      </c>
      <c r="D249" s="6" t="inlineStr">
        <is>
          <t>MATERIAL OBRA</t>
        </is>
      </c>
      <c r="E249" s="6" t="inlineStr">
        <is>
          <t>LEROY MERLIN ESPAÑA SL</t>
        </is>
      </c>
      <c r="F249" s="6" t="inlineStr">
        <is>
          <t>IMPUTADO</t>
        </is>
      </c>
      <c r="G249" s="4" t="n">
        <v>14.92</v>
      </c>
    </row>
    <row r="250">
      <c r="A250" s="6" t="inlineStr">
        <is>
          <t>24010 - LA ALBERCA</t>
        </is>
      </c>
      <c r="B250" s="6" t="inlineStr">
        <is>
          <t>062-0003-153085</t>
        </is>
      </c>
      <c r="C250" s="6" t="inlineStr">
        <is>
          <t>11/03/2026</t>
        </is>
      </c>
      <c r="D250" s="6" t="inlineStr">
        <is>
          <t>MATERIAL</t>
        </is>
      </c>
      <c r="E250" s="6" t="inlineStr">
        <is>
          <t>LEROY MERLIN ESPAÑA SL</t>
        </is>
      </c>
      <c r="F250" s="6" t="inlineStr">
        <is>
          <t>IMPUTADO</t>
        </is>
      </c>
      <c r="G250" s="4" t="n">
        <v>13.92</v>
      </c>
    </row>
    <row r="251">
      <c r="A251" s="6" t="inlineStr">
        <is>
          <t>24010 - LA ALBERCA</t>
        </is>
      </c>
      <c r="B251" s="6" t="inlineStr">
        <is>
          <t>26/00184</t>
        </is>
      </c>
      <c r="C251" s="6" t="inlineStr">
        <is>
          <t>04/05/2026</t>
        </is>
      </c>
      <c r="D251" s="6" t="inlineStr">
        <is>
          <t>MATERIAL</t>
        </is>
      </c>
      <c r="E251" s="6" t="inlineStr">
        <is>
          <t>JOSE ANTONIO GALLEGO LOPEZ</t>
        </is>
      </c>
      <c r="F251" s="6" t="inlineStr">
        <is>
          <t>IMPUTADO</t>
        </is>
      </c>
      <c r="G251" s="4" t="n">
        <v>9.68</v>
      </c>
    </row>
    <row r="252">
      <c r="A252" s="6" t="inlineStr">
        <is>
          <t>24010 - LA ALBERCA</t>
        </is>
      </c>
      <c r="B252" s="6" t="inlineStr">
        <is>
          <t>026-0006-522816</t>
        </is>
      </c>
      <c r="C252" s="6" t="inlineStr">
        <is>
          <t>11/06/2026</t>
        </is>
      </c>
      <c r="D252" s="6" t="inlineStr">
        <is>
          <t>GRAVA</t>
        </is>
      </c>
      <c r="E252" s="6" t="inlineStr">
        <is>
          <t>BRICOLAJE BRICOMAN SLU</t>
        </is>
      </c>
      <c r="F252" s="6" t="inlineStr">
        <is>
          <t>IMPUTADO</t>
        </is>
      </c>
      <c r="G252" s="4" t="n">
        <v>9.42</v>
      </c>
    </row>
    <row r="253">
      <c r="A253" s="6" t="inlineStr">
        <is>
          <t>24010 - LA ALBERCA</t>
        </is>
      </c>
      <c r="B253" s="6" t="inlineStr">
        <is>
          <t>062-0005-191414</t>
        </is>
      </c>
      <c r="C253" s="6" t="inlineStr">
        <is>
          <t>28/05/2026</t>
        </is>
      </c>
      <c r="D253" s="6" t="inlineStr">
        <is>
          <t>FONTANERIA</t>
        </is>
      </c>
      <c r="E253" s="6" t="inlineStr">
        <is>
          <t>LEROY MERLIN ESPAÑA SL</t>
        </is>
      </c>
      <c r="F253" s="6" t="inlineStr">
        <is>
          <t>IMPUTADO</t>
        </is>
      </c>
      <c r="G253" s="4" t="n">
        <v>5.03</v>
      </c>
    </row>
    <row r="254">
      <c r="A254" s="6" t="inlineStr">
        <is>
          <t>24010 - LA ALBERCA</t>
        </is>
      </c>
      <c r="B254" s="6" t="inlineStr">
        <is>
          <t>105-0004-331337</t>
        </is>
      </c>
      <c r="C254" s="6" t="inlineStr">
        <is>
          <t>08/04/2026</t>
        </is>
      </c>
      <c r="D254" s="6" t="inlineStr">
        <is>
          <t>MATERIAL</t>
        </is>
      </c>
      <c r="E254" s="6" t="inlineStr">
        <is>
          <t>LEROY MERLIN ESPAÑA SL</t>
        </is>
      </c>
      <c r="F254" s="6" t="inlineStr">
        <is>
          <t>IMPUTADO</t>
        </is>
      </c>
      <c r="G254" s="4" t="n">
        <v>2.6</v>
      </c>
    </row>
    <row r="255">
      <c r="A255" s="6" t="inlineStr">
        <is>
          <t>24014 - LA PARTE DIFICIL, MURCIA</t>
        </is>
      </c>
      <c r="B255" s="6" t="inlineStr">
        <is>
          <t>A/3</t>
        </is>
      </c>
      <c r="C255" s="6" t="inlineStr">
        <is>
          <t>02/02/2026</t>
        </is>
      </c>
      <c r="D255" s="6" t="inlineStr">
        <is>
          <t>MEJORAS B FRAN EXCAVADORA</t>
        </is>
      </c>
      <c r="E255" s="6" t="inlineStr">
        <is>
          <t>FRANCISO JAVIER SERNA GALVEZ</t>
        </is>
      </c>
      <c r="F255" s="6" t="inlineStr">
        <is>
          <t>SIN IMPUTAR</t>
        </is>
      </c>
      <c r="G255" s="4" t="n">
        <v>340</v>
      </c>
    </row>
    <row r="256">
      <c r="A256" s="6" t="inlineStr">
        <is>
          <t>24015 - LA PARTE DIFICIL, ALICANTE</t>
        </is>
      </c>
      <c r="B256" s="6" t="inlineStr">
        <is>
          <t>ASO260231</t>
        </is>
      </c>
      <c r="C256" s="6" t="inlineStr">
        <is>
          <t>10/03/2026</t>
        </is>
      </c>
      <c r="D256" s="6" t="inlineStr">
        <is>
          <t>HORMIGON CIMENTACION #estructura hormigon</t>
        </is>
      </c>
      <c r="E256" s="6" t="inlineStr">
        <is>
          <t>EXPRESS HORMIGONES SL.</t>
        </is>
      </c>
      <c r="F256" s="6" t="inlineStr">
        <is>
          <t>IMPUTADO</t>
        </is>
      </c>
      <c r="G256" s="4" t="n">
        <v>1576</v>
      </c>
    </row>
    <row r="257">
      <c r="A257" s="6" t="inlineStr">
        <is>
          <t>24015 - LA PARTE DIFICIL, ALICANTE</t>
        </is>
      </c>
      <c r="B257" s="6" t="inlineStr">
        <is>
          <t>3486/2026</t>
        </is>
      </c>
      <c r="C257" s="6" t="inlineStr">
        <is>
          <t>15/03/2026</t>
        </is>
      </c>
      <c r="D257" s="6" t="inlineStr">
        <is>
          <t>BOMBA CIMENTACION</t>
        </is>
      </c>
      <c r="E257" s="6" t="inlineStr">
        <is>
          <t>LORENZO ROMERO MORALEDA</t>
        </is>
      </c>
      <c r="F257" s="6" t="inlineStr">
        <is>
          <t>IMPUTADO</t>
        </is>
      </c>
      <c r="G257" s="4" t="n">
        <v>1360</v>
      </c>
    </row>
    <row r="258">
      <c r="A258" s="6" t="inlineStr">
        <is>
          <t>24015 - LA PARTE DIFICIL, ALICANTE</t>
        </is>
      </c>
      <c r="B258" s="6" t="inlineStr">
        <is>
          <t>2026/01/ 000491</t>
        </is>
      </c>
      <c r="C258" s="6" t="inlineStr">
        <is>
          <t>13/01/2026</t>
        </is>
      </c>
      <c r="D258" s="6" t="inlineStr">
        <is>
          <t>MEJORAS  B  CONTENEDORES</t>
        </is>
      </c>
      <c r="E258" s="6" t="inlineStr">
        <is>
          <t>SIRVENT E HIJOS SL</t>
        </is>
      </c>
      <c r="F258" s="6" t="inlineStr">
        <is>
          <t>SIN IMPUTAR</t>
        </is>
      </c>
      <c r="G258" s="4" t="n">
        <v>653</v>
      </c>
    </row>
    <row r="259">
      <c r="A259" s="6" t="inlineStr">
        <is>
          <t>24015 - LA PARTE DIFICIL, ALICANTE</t>
        </is>
      </c>
      <c r="B259" s="6" t="inlineStr">
        <is>
          <t>605142-2</t>
        </is>
      </c>
      <c r="C259" s="6" t="inlineStr">
        <is>
          <t>09/02/2026</t>
        </is>
      </c>
      <c r="D259" s="6" t="inlineStr">
        <is>
          <t>PRESUPUESTO Nº605142-2</t>
        </is>
      </c>
      <c r="E259" s="6" t="inlineStr">
        <is>
          <t>LEROY MERLIN ESPAÑA SL</t>
        </is>
      </c>
      <c r="F259" s="6" t="inlineStr">
        <is>
          <t>IMPUTADO</t>
        </is>
      </c>
      <c r="G259" s="4" t="n">
        <v>601.51</v>
      </c>
    </row>
    <row r="260">
      <c r="A260" s="6" t="inlineStr">
        <is>
          <t>24015 - LA PARTE DIFICIL, ALICANTE</t>
        </is>
      </c>
      <c r="B260" s="6" t="inlineStr">
        <is>
          <t>605142-1</t>
        </is>
      </c>
      <c r="C260" s="6" t="inlineStr">
        <is>
          <t>09/02/2026</t>
        </is>
      </c>
      <c r="D260" s="6" t="inlineStr">
        <is>
          <t>PRESUPUESTO Nº 605142-1</t>
        </is>
      </c>
      <c r="E260" s="6" t="inlineStr">
        <is>
          <t>LEROY MERLIN ESPAÑA SL</t>
        </is>
      </c>
      <c r="F260" s="6" t="inlineStr">
        <is>
          <t>IMPUTADO</t>
        </is>
      </c>
      <c r="G260" s="4" t="n">
        <v>584.48</v>
      </c>
    </row>
    <row r="261">
      <c r="A261" s="6" t="inlineStr">
        <is>
          <t>24015 - LA PARTE DIFICIL, ALICANTE</t>
        </is>
      </c>
      <c r="B261" s="6" t="inlineStr">
        <is>
          <t>605357</t>
        </is>
      </c>
      <c r="C261" s="6" t="inlineStr">
        <is>
          <t>27/02/2026</t>
        </is>
      </c>
      <c r="D261" s="6" t="inlineStr">
        <is>
          <t>Leroy Merlin (presupuesto 605357)</t>
        </is>
      </c>
      <c r="E261" s="6" t="inlineStr">
        <is>
          <t>LEROY MERLIN ESPAÑA SL</t>
        </is>
      </c>
      <c r="F261" s="6" t="inlineStr">
        <is>
          <t>IMPUTADO</t>
        </is>
      </c>
      <c r="G261" s="4" t="n">
        <v>401.26</v>
      </c>
    </row>
    <row r="262">
      <c r="A262" s="6" t="inlineStr">
        <is>
          <t>24015 - LA PARTE DIFICIL, ALICANTE</t>
        </is>
      </c>
      <c r="B262" s="6" t="inlineStr">
        <is>
          <t>2026/01/002920</t>
        </is>
      </c>
      <c r="C262" s="6" t="inlineStr">
        <is>
          <t>01/04/2026</t>
        </is>
      </c>
      <c r="D262" s="6" t="inlineStr">
        <is>
          <t>CONTENEDOR #mejoras B</t>
        </is>
      </c>
      <c r="E262" s="6" t="inlineStr">
        <is>
          <t>SIRVENT E HIJOS SL</t>
        </is>
      </c>
      <c r="F262" s="6" t="inlineStr">
        <is>
          <t>SIN IMPUTAR</t>
        </is>
      </c>
      <c r="G262" s="4" t="n">
        <v>180</v>
      </c>
    </row>
    <row r="263">
      <c r="A263" s="6" t="inlineStr">
        <is>
          <t>24015 - LA PARTE DIFICIL, ALICANTE</t>
        </is>
      </c>
      <c r="B263" s="6" t="inlineStr">
        <is>
          <t>2026/01/ 010088</t>
        </is>
      </c>
      <c r="C263" s="6" t="inlineStr">
        <is>
          <t>27/05/2026</t>
        </is>
      </c>
      <c r="D263" s="6" t="inlineStr">
        <is>
          <t>CONTENEDOR #mejoras B</t>
        </is>
      </c>
      <c r="E263" s="6" t="inlineStr">
        <is>
          <t>SIRVENT E HIJOS SL</t>
        </is>
      </c>
      <c r="F263" s="6" t="inlineStr">
        <is>
          <t>SIN IMPUTAR</t>
        </is>
      </c>
      <c r="G263" s="4" t="n">
        <v>180</v>
      </c>
    </row>
    <row r="264">
      <c r="A264" s="6" t="inlineStr">
        <is>
          <t>24015 - LA PARTE DIFICIL, ALICANTE</t>
        </is>
      </c>
      <c r="B264" s="6" t="inlineStr">
        <is>
          <t>2026/01/003000</t>
        </is>
      </c>
      <c r="C264" s="6" t="inlineStr">
        <is>
          <t>17/02/2026</t>
        </is>
      </c>
      <c r="D264" s="6" t="inlineStr">
        <is>
          <t>CONTENEDORES</t>
        </is>
      </c>
      <c r="E264" s="6" t="inlineStr">
        <is>
          <t>SIRVENT E HIJOS SL</t>
        </is>
      </c>
      <c r="F264" s="6" t="inlineStr">
        <is>
          <t>IMPUTADO</t>
        </is>
      </c>
      <c r="G264" s="4" t="n">
        <v>180</v>
      </c>
    </row>
    <row r="265">
      <c r="A265" s="6" t="inlineStr">
        <is>
          <t>24015 - LA PARTE DIFICIL, ALICANTE</t>
        </is>
      </c>
      <c r="B265" s="6" t="inlineStr">
        <is>
          <t>2026/01/ 000971</t>
        </is>
      </c>
      <c r="C265" s="6" t="inlineStr">
        <is>
          <t>20/01/2026</t>
        </is>
      </c>
      <c r="D265" s="6" t="inlineStr">
        <is>
          <t>MEJORAS B CONTENEDORES</t>
        </is>
      </c>
      <c r="E265" s="6" t="inlineStr">
        <is>
          <t>SIRVENT E HIJOS SL</t>
        </is>
      </c>
      <c r="F265" s="6" t="inlineStr">
        <is>
          <t>SIN IMPUTAR</t>
        </is>
      </c>
      <c r="G265" s="4" t="n">
        <v>180</v>
      </c>
    </row>
    <row r="266">
      <c r="A266" s="6" t="inlineStr">
        <is>
          <t>24015 - LA PARTE DIFICIL, ALICANTE</t>
        </is>
      </c>
      <c r="B266" s="6" t="inlineStr">
        <is>
          <t>2026/01/ 000989</t>
        </is>
      </c>
      <c r="C266" s="6" t="inlineStr">
        <is>
          <t>20/01/2026</t>
        </is>
      </c>
      <c r="D266" s="6" t="inlineStr">
        <is>
          <t>MEJORAS B CONTENEDOR</t>
        </is>
      </c>
      <c r="E266" s="6" t="inlineStr">
        <is>
          <t>SIRVENT E HIJOS SL</t>
        </is>
      </c>
      <c r="F266" s="6" t="inlineStr">
        <is>
          <t>SIN IMPUTAR</t>
        </is>
      </c>
      <c r="G266" s="4" t="n">
        <v>180</v>
      </c>
    </row>
    <row r="267">
      <c r="A267" s="6" t="inlineStr">
        <is>
          <t>24015 - LA PARTE DIFICIL, ALICANTE</t>
        </is>
      </c>
      <c r="B267" s="6" t="inlineStr">
        <is>
          <t>2026/01/ 000988</t>
        </is>
      </c>
      <c r="C267" s="6" t="inlineStr">
        <is>
          <t>20/01/2026</t>
        </is>
      </c>
      <c r="D267" s="6" t="inlineStr">
        <is>
          <t>MEJORAS B CONTENEDORES</t>
        </is>
      </c>
      <c r="E267" s="6" t="inlineStr">
        <is>
          <t>SIRVENT E HIJOS SL</t>
        </is>
      </c>
      <c r="F267" s="6" t="inlineStr">
        <is>
          <t>SIN IMPUTAR</t>
        </is>
      </c>
      <c r="G267" s="4" t="n">
        <v>180</v>
      </c>
    </row>
    <row r="268">
      <c r="A268" s="6" t="inlineStr">
        <is>
          <t>24015 - LA PARTE DIFICIL, ALICANTE</t>
        </is>
      </c>
      <c r="B268" s="6" t="inlineStr">
        <is>
          <t>2026/01/ 001078</t>
        </is>
      </c>
      <c r="C268" s="6" t="inlineStr">
        <is>
          <t>21/01/2026</t>
        </is>
      </c>
      <c r="D268" s="6" t="inlineStr">
        <is>
          <t>MEJORAS B CONTENEDORES</t>
        </is>
      </c>
      <c r="E268" s="6" t="inlineStr">
        <is>
          <t>SIRVENT E HIJOS SL</t>
        </is>
      </c>
      <c r="F268" s="6" t="inlineStr">
        <is>
          <t>SIN IMPUTAR</t>
        </is>
      </c>
      <c r="G268" s="4" t="n">
        <v>180</v>
      </c>
    </row>
    <row r="269">
      <c r="A269" s="6" t="inlineStr">
        <is>
          <t>24015 - LA PARTE DIFICIL, ALICANTE</t>
        </is>
      </c>
      <c r="B269" s="6" t="inlineStr">
        <is>
          <t>2026/01/ 001217</t>
        </is>
      </c>
      <c r="C269" s="6" t="inlineStr">
        <is>
          <t>22/01/2026</t>
        </is>
      </c>
      <c r="D269" s="6" t="inlineStr">
        <is>
          <t>MEJORAS B CONTENEDORES</t>
        </is>
      </c>
      <c r="E269" s="6" t="inlineStr">
        <is>
          <t>SIRVENT E HIJOS SL</t>
        </is>
      </c>
      <c r="F269" s="6" t="inlineStr">
        <is>
          <t>SIN IMPUTAR</t>
        </is>
      </c>
      <c r="G269" s="4" t="n">
        <v>180</v>
      </c>
    </row>
    <row r="270">
      <c r="A270" s="6" t="inlineStr">
        <is>
          <t>24015 - LA PARTE DIFICIL, ALICANTE</t>
        </is>
      </c>
      <c r="B270" s="6" t="inlineStr">
        <is>
          <t>2026/01/ 001408</t>
        </is>
      </c>
      <c r="C270" s="6" t="inlineStr">
        <is>
          <t>26/01/2026</t>
        </is>
      </c>
      <c r="D270" s="6" t="inlineStr">
        <is>
          <t>MEJORAS B CONTENEDORES</t>
        </is>
      </c>
      <c r="E270" s="6" t="inlineStr">
        <is>
          <t>SIRVENT E HIJOS SL</t>
        </is>
      </c>
      <c r="F270" s="6" t="inlineStr">
        <is>
          <t>SIN IMPUTAR</t>
        </is>
      </c>
      <c r="G270" s="4" t="n">
        <v>180</v>
      </c>
    </row>
    <row r="271">
      <c r="A271" s="6" t="inlineStr">
        <is>
          <t>24015 - LA PARTE DIFICIL, ALICANTE</t>
        </is>
      </c>
      <c r="B271" s="6" t="inlineStr">
        <is>
          <t>031-0003-079564</t>
        </is>
      </c>
      <c r="C271" s="6" t="inlineStr">
        <is>
          <t>04/03/2026</t>
        </is>
      </c>
      <c r="D271" s="6" t="inlineStr">
        <is>
          <t>TOMA TIERRA CIMENTACIÓN</t>
        </is>
      </c>
      <c r="E271" s="6" t="inlineStr">
        <is>
          <t>BRICOLAJE BRICOMAN SLU</t>
        </is>
      </c>
      <c r="F271" s="6" t="inlineStr">
        <is>
          <t>IMPUTADO</t>
        </is>
      </c>
      <c r="G271" s="4" t="n">
        <v>155.67</v>
      </c>
    </row>
    <row r="272">
      <c r="A272" s="6" t="inlineStr">
        <is>
          <t>24015 - LA PARTE DIFICIL, ALICANTE</t>
        </is>
      </c>
      <c r="B272" s="6" t="inlineStr">
        <is>
          <t>2026-24</t>
        </is>
      </c>
      <c r="C272" s="6" t="inlineStr">
        <is>
          <t>10/03/2026</t>
        </is>
      </c>
      <c r="D272" s="6" t="inlineStr">
        <is>
          <t>ESTRUCTURA METÁLICA</t>
        </is>
      </c>
      <c r="E272" s="6" t="inlineStr">
        <is>
          <t>ALEJANDRO CUTILLAS CAÑABATE</t>
        </is>
      </c>
      <c r="F272" s="6" t="inlineStr">
        <is>
          <t>IMPUTADO</t>
        </is>
      </c>
      <c r="G272" s="4" t="n">
        <v>107.4</v>
      </c>
    </row>
    <row r="273">
      <c r="A273" s="6" t="inlineStr">
        <is>
          <t>24015 - LA PARTE DIFICIL, ALICANTE</t>
        </is>
      </c>
      <c r="B273" s="6" t="inlineStr">
        <is>
          <t>A-266/2026</t>
        </is>
      </c>
      <c r="C273" s="6" t="inlineStr">
        <is>
          <t>27/03/2026</t>
        </is>
      </c>
      <c r="D273" s="6" t="inlineStr">
        <is>
          <t>TOMAS CIMENTACION</t>
        </is>
      </c>
      <c r="E273" s="6" t="inlineStr">
        <is>
          <t>LABORATORIO DE INGENIERIA Y MEDIO AMBIENTE SA.</t>
        </is>
      </c>
      <c r="F273" s="6" t="inlineStr">
        <is>
          <t>IMPUTADO</t>
        </is>
      </c>
      <c r="G273" s="4" t="n">
        <v>100</v>
      </c>
    </row>
    <row r="274">
      <c r="A274" s="6" t="inlineStr">
        <is>
          <t>24015 - LA PARTE DIFICIL, ALICANTE</t>
        </is>
      </c>
      <c r="B274" s="6" t="inlineStr">
        <is>
          <t>026-0003-462004</t>
        </is>
      </c>
      <c r="C274" s="6" t="inlineStr">
        <is>
          <t>27/03/2026</t>
        </is>
      </c>
      <c r="D274" s="6" t="inlineStr">
        <is>
          <t>TIMA TIERRA CIMENTACION</t>
        </is>
      </c>
      <c r="E274" s="6" t="inlineStr">
        <is>
          <t>BRICOLAJE BRICOMAN SLU</t>
        </is>
      </c>
      <c r="F274" s="6" t="inlineStr">
        <is>
          <t>SIN IMPUTAR</t>
        </is>
      </c>
      <c r="G274" s="4" t="n">
        <v>23.27</v>
      </c>
    </row>
    <row r="275">
      <c r="A275" s="6" t="inlineStr">
        <is>
          <t>24015 - LA PARTE DIFICIL, ALICANTE</t>
        </is>
      </c>
      <c r="B275" s="6" t="inlineStr">
        <is>
          <t>021-0002-154831</t>
        </is>
      </c>
      <c r="C275" s="6" t="inlineStr">
        <is>
          <t>27/02/2026</t>
        </is>
      </c>
      <c r="D275" s="6" t="inlineStr">
        <is>
          <t>DISCOS DE CORTE</t>
        </is>
      </c>
      <c r="E275" s="6" t="inlineStr">
        <is>
          <t>LEROY MERLIN ESPAÑA SL</t>
        </is>
      </c>
      <c r="F275" s="6" t="inlineStr">
        <is>
          <t>IMPUTADO</t>
        </is>
      </c>
      <c r="G275" s="4" t="n">
        <v>7.62</v>
      </c>
    </row>
    <row r="276">
      <c r="A276" s="6" t="inlineStr">
        <is>
          <t>24016 - PLAZA CIRCULAR</t>
        </is>
      </c>
      <c r="B276" s="6" t="inlineStr">
        <is>
          <t>A/122</t>
        </is>
      </c>
      <c r="C276" s="6" t="inlineStr">
        <is>
          <t>29/06/2026</t>
        </is>
      </c>
      <c r="D276" s="6" t="inlineStr">
        <is>
          <t>CARPINTERIA MADERA</t>
        </is>
      </c>
      <c r="E276" s="6" t="inlineStr">
        <is>
          <t>CARPINTERIA EBANISTERIA BAMBU SL.</t>
        </is>
      </c>
      <c r="F276" s="6" t="inlineStr">
        <is>
          <t>IMPUTADO</t>
        </is>
      </c>
      <c r="G276" s="4" t="n">
        <v>31917.5</v>
      </c>
    </row>
    <row r="277">
      <c r="A277" s="6" t="inlineStr">
        <is>
          <t>24016 - PLAZA CIRCULAR</t>
        </is>
      </c>
      <c r="B277" s="6" t="inlineStr">
        <is>
          <t>2026-37</t>
        </is>
      </c>
      <c r="C277" s="6" t="inlineStr">
        <is>
          <t>17/04/2026</t>
        </is>
      </c>
      <c r="D277" s="6" t="inlineStr">
        <is>
          <t>50% VENTANAS</t>
        </is>
      </c>
      <c r="E277" s="6" t="inlineStr">
        <is>
          <t>ALEJANDRO CUTILLAS CAÑABATE</t>
        </is>
      </c>
      <c r="F277" s="6" t="inlineStr">
        <is>
          <t>IMPUTADO</t>
        </is>
      </c>
      <c r="G277" s="4" t="n">
        <v>26914.33</v>
      </c>
    </row>
    <row r="278">
      <c r="A278" s="6" t="inlineStr">
        <is>
          <t>24016 - PLAZA CIRCULAR</t>
        </is>
      </c>
      <c r="B278" s="6" t="inlineStr">
        <is>
          <t>2026-71</t>
        </is>
      </c>
      <c r="C278" s="6" t="inlineStr">
        <is>
          <t>17/07/2026</t>
        </is>
      </c>
      <c r="D278" s="6" t="inlineStr">
        <is>
          <t>VENTANAS</t>
        </is>
      </c>
      <c r="E278" s="6" t="inlineStr">
        <is>
          <t>ALEJANDRO CUTILLAS CAÑABATE</t>
        </is>
      </c>
      <c r="F278" s="6" t="inlineStr">
        <is>
          <t>IMPUTADO</t>
        </is>
      </c>
      <c r="G278" s="4" t="n">
        <v>26029.38</v>
      </c>
    </row>
    <row r="279">
      <c r="A279" s="6" t="inlineStr">
        <is>
          <t>24016 - PLAZA CIRCULAR</t>
        </is>
      </c>
      <c r="B279" s="6" t="inlineStr">
        <is>
          <t>TND/109</t>
        </is>
      </c>
      <c r="C279" s="6" t="inlineStr">
        <is>
          <t>15/06/2026</t>
        </is>
      </c>
      <c r="D279" s="6" t="inlineStr">
        <is>
          <t>MÁQUINAS DE AIRE</t>
        </is>
      </c>
      <c r="E279" s="6" t="inlineStr">
        <is>
          <t>GOCLIMA FRIO Y CALOR SL</t>
        </is>
      </c>
      <c r="F279" s="6" t="inlineStr">
        <is>
          <t>IMPUTADO</t>
        </is>
      </c>
      <c r="G279" s="4" t="n">
        <v>22641.6</v>
      </c>
    </row>
    <row r="280">
      <c r="A280" s="6" t="inlineStr">
        <is>
          <t>24016 - PLAZA CIRCULAR</t>
        </is>
      </c>
      <c r="B280" s="6" t="inlineStr">
        <is>
          <t>TND/108</t>
        </is>
      </c>
      <c r="C280" s="6" t="inlineStr">
        <is>
          <t>15/06/2026</t>
        </is>
      </c>
      <c r="D280" s="6" t="inlineStr">
        <is>
          <t>AIRE ACONDICIONADO + AIRE ZONE</t>
        </is>
      </c>
      <c r="E280" s="6" t="inlineStr">
        <is>
          <t>GOCLIMA FRIO Y CALOR SL</t>
        </is>
      </c>
      <c r="F280" s="6" t="inlineStr">
        <is>
          <t>IMPUTADO</t>
        </is>
      </c>
      <c r="G280" s="4" t="n">
        <v>13256</v>
      </c>
    </row>
    <row r="281">
      <c r="A281" s="6" t="inlineStr">
        <is>
          <t>24016 - PLAZA CIRCULAR</t>
        </is>
      </c>
      <c r="B281" s="6" t="inlineStr">
        <is>
          <t>621310</t>
        </is>
      </c>
      <c r="C281" s="6" t="inlineStr">
        <is>
          <t>23/03/2026</t>
        </is>
      </c>
      <c r="D281" s="6" t="inlineStr">
        <is>
          <t>PRESUPUESTO Nº 621310 (fecha cambio 13/05/2026)</t>
        </is>
      </c>
      <c r="E281" s="6" t="inlineStr">
        <is>
          <t>LEROY MERLIN ESPAÑA SL</t>
        </is>
      </c>
      <c r="F281" s="6" t="inlineStr">
        <is>
          <t>IMPUTADO</t>
        </is>
      </c>
      <c r="G281" s="4" t="n">
        <v>8220.07</v>
      </c>
    </row>
    <row r="282">
      <c r="A282" s="6" t="inlineStr">
        <is>
          <t>24016 - PLAZA CIRCULAR</t>
        </is>
      </c>
      <c r="B282" s="6" t="inlineStr">
        <is>
          <t>A-26/0001435</t>
        </is>
      </c>
      <c r="C282" s="6" t="inlineStr">
        <is>
          <t>24/04/2026</t>
        </is>
      </c>
      <c r="D282" s="6" t="inlineStr">
        <is>
          <t>PORCELANICO #pavimento y alicatado</t>
        </is>
      </c>
      <c r="E282" s="6" t="inlineStr">
        <is>
          <t>CONSYDECOR SL</t>
        </is>
      </c>
      <c r="F282" s="6" t="inlineStr">
        <is>
          <t>IMPUTADO</t>
        </is>
      </c>
      <c r="G282" s="4" t="n">
        <v>8000</v>
      </c>
    </row>
    <row r="283">
      <c r="A283" s="6" t="inlineStr">
        <is>
          <t>24016 - PLAZA CIRCULAR</t>
        </is>
      </c>
      <c r="B283" s="6" t="inlineStr">
        <is>
          <t>122</t>
        </is>
      </c>
      <c r="C283" s="6" t="inlineStr">
        <is>
          <t>23/07/2026</t>
        </is>
      </c>
      <c r="D283" s="6" t="inlineStr">
        <is>
          <t>SUELO RADIANTE</t>
        </is>
      </c>
      <c r="E283" s="6" t="inlineStr">
        <is>
          <t>HIDROELIKE SLL</t>
        </is>
      </c>
      <c r="F283" s="6" t="inlineStr">
        <is>
          <t>IMPUTADO</t>
        </is>
      </c>
      <c r="G283" s="4" t="n">
        <v>6527.56</v>
      </c>
    </row>
    <row r="284">
      <c r="A284" s="6" t="inlineStr">
        <is>
          <t>24016 - PLAZA CIRCULAR</t>
        </is>
      </c>
      <c r="B284" s="6" t="inlineStr">
        <is>
          <t>121</t>
        </is>
      </c>
      <c r="C284" s="6" t="inlineStr">
        <is>
          <t>23/07/2026</t>
        </is>
      </c>
      <c r="D284" s="6" t="inlineStr">
        <is>
          <t>SUELO RADIANTE</t>
        </is>
      </c>
      <c r="E284" s="6" t="inlineStr">
        <is>
          <t>HIDROELIKE SLL</t>
        </is>
      </c>
      <c r="F284" s="6" t="inlineStr">
        <is>
          <t>IMPUTADO</t>
        </is>
      </c>
      <c r="G284" s="4" t="n">
        <v>6527.56</v>
      </c>
    </row>
    <row r="285">
      <c r="A285" s="6" t="inlineStr">
        <is>
          <t>24016 - PLAZA CIRCULAR</t>
        </is>
      </c>
      <c r="B285" s="6" t="inlineStr">
        <is>
          <t>F00052</t>
        </is>
      </c>
      <c r="C285" s="6" t="inlineStr">
        <is>
          <t>01/08/2026</t>
        </is>
      </c>
      <c r="D285" s="6" t="inlineStr">
        <is>
          <t>INSTALACION ELECTRICA</t>
        </is>
      </c>
      <c r="E285" s="6" t="inlineStr"/>
      <c r="F285" s="6" t="inlineStr">
        <is>
          <t>IMPUTADO</t>
        </is>
      </c>
      <c r="G285" s="4" t="n">
        <v>3352.45</v>
      </c>
    </row>
    <row r="286">
      <c r="A286" s="6" t="inlineStr">
        <is>
          <t>24016 - PLAZA CIRCULAR</t>
        </is>
      </c>
      <c r="B286" s="6" t="inlineStr">
        <is>
          <t>F00051</t>
        </is>
      </c>
      <c r="C286" s="6" t="inlineStr">
        <is>
          <t>01/08/2026</t>
        </is>
      </c>
      <c r="D286" s="6" t="inlineStr">
        <is>
          <t>INSTALACIÓN ELECTRICA</t>
        </is>
      </c>
      <c r="E286" s="6" t="inlineStr"/>
      <c r="F286" s="6" t="inlineStr">
        <is>
          <t>IMPUTADO</t>
        </is>
      </c>
      <c r="G286" s="4" t="n">
        <v>3105.52</v>
      </c>
    </row>
    <row r="287">
      <c r="A287" s="6" t="inlineStr">
        <is>
          <t>24016 - PLAZA CIRCULAR</t>
        </is>
      </c>
      <c r="B287" s="6" t="inlineStr">
        <is>
          <t>2026-42</t>
        </is>
      </c>
      <c r="C287" s="6" t="inlineStr">
        <is>
          <t>11/05/2026</t>
        </is>
      </c>
      <c r="D287" s="6" t="inlineStr">
        <is>
          <t>MEJORA - ESTORES / VENTANAS #mejora estores</t>
        </is>
      </c>
      <c r="E287" s="6" t="inlineStr">
        <is>
          <t>ALEJANDRO CUTILLAS CAÑABATE</t>
        </is>
      </c>
      <c r="F287" s="6" t="inlineStr">
        <is>
          <t>IMPUTADO</t>
        </is>
      </c>
      <c r="G287" s="4" t="n">
        <v>3054.1</v>
      </c>
    </row>
    <row r="288">
      <c r="A288" s="6" t="inlineStr">
        <is>
          <t>24016 - PLAZA CIRCULAR</t>
        </is>
      </c>
      <c r="B288" s="6" t="inlineStr">
        <is>
          <t>1.871,00</t>
        </is>
      </c>
      <c r="C288" s="6" t="inlineStr">
        <is>
          <t>25/08/2026</t>
        </is>
      </c>
      <c r="D288" s="6" t="inlineStr">
        <is>
          <t>INSTALACION ELECTRICA</t>
        </is>
      </c>
      <c r="E288" s="6" t="inlineStr"/>
      <c r="F288" s="6" t="inlineStr">
        <is>
          <t>SIN IMPUTAR</t>
        </is>
      </c>
      <c r="G288" s="4" t="n">
        <v>-3036.67</v>
      </c>
    </row>
    <row r="289">
      <c r="A289" s="6" t="inlineStr">
        <is>
          <t>24016 - PLAZA CIRCULAR</t>
        </is>
      </c>
      <c r="B289" s="6" t="inlineStr">
        <is>
          <t>52</t>
        </is>
      </c>
      <c r="C289" s="6" t="inlineStr">
        <is>
          <t>01/08/2026</t>
        </is>
      </c>
      <c r="D289" s="6" t="inlineStr">
        <is>
          <t>INSTALACION ELECTRICA</t>
        </is>
      </c>
      <c r="E289" s="6" t="inlineStr"/>
      <c r="F289" s="6" t="inlineStr">
        <is>
          <t>SIN IMPUTAR</t>
        </is>
      </c>
      <c r="G289" s="4" t="n">
        <v>3036.67</v>
      </c>
    </row>
    <row r="290">
      <c r="A290" s="6" t="inlineStr">
        <is>
          <t>24016 - PLAZA CIRCULAR</t>
        </is>
      </c>
      <c r="B290" s="6" t="inlineStr">
        <is>
          <t>20</t>
        </is>
      </c>
      <c r="C290" s="6" t="inlineStr">
        <is>
          <t>16/04/2026</t>
        </is>
      </c>
      <c r="D290" s="6" t="inlineStr">
        <is>
          <t>INSTALACIÓN ELÉCTRICA</t>
        </is>
      </c>
      <c r="E290" s="6" t="inlineStr"/>
      <c r="F290" s="6" t="inlineStr">
        <is>
          <t>IMPUTADO</t>
        </is>
      </c>
      <c r="G290" s="4" t="n">
        <v>3036.67</v>
      </c>
    </row>
    <row r="291">
      <c r="A291" s="6" t="inlineStr">
        <is>
          <t>24016 - PLAZA CIRCULAR</t>
        </is>
      </c>
      <c r="B291" s="6" t="inlineStr">
        <is>
          <t>123</t>
        </is>
      </c>
      <c r="C291" s="6" t="inlineStr">
        <is>
          <t>23/07/2026</t>
        </is>
      </c>
      <c r="D291" s="6" t="inlineStr">
        <is>
          <t>FONTANERIA</t>
        </is>
      </c>
      <c r="E291" s="6" t="inlineStr">
        <is>
          <t>HIDROELIKE SLL</t>
        </is>
      </c>
      <c r="F291" s="6" t="inlineStr">
        <is>
          <t>IMPUTADO</t>
        </is>
      </c>
      <c r="G291" s="4" t="n">
        <v>3000</v>
      </c>
    </row>
    <row r="292">
      <c r="A292" s="6" t="inlineStr">
        <is>
          <t>24016 - PLAZA CIRCULAR</t>
        </is>
      </c>
      <c r="B292" s="6" t="inlineStr">
        <is>
          <t>124</t>
        </is>
      </c>
      <c r="C292" s="6" t="inlineStr">
        <is>
          <t>23/07/2026</t>
        </is>
      </c>
      <c r="D292" s="6" t="inlineStr">
        <is>
          <t>FONTANERIA</t>
        </is>
      </c>
      <c r="E292" s="6" t="inlineStr">
        <is>
          <t>HIDROELIKE SLL</t>
        </is>
      </c>
      <c r="F292" s="6" t="inlineStr">
        <is>
          <t>IMPUTADO</t>
        </is>
      </c>
      <c r="G292" s="4" t="n">
        <v>3000</v>
      </c>
    </row>
    <row r="293">
      <c r="A293" s="6" t="inlineStr">
        <is>
          <t>24016 - PLAZA CIRCULAR</t>
        </is>
      </c>
      <c r="B293" s="6" t="inlineStr">
        <is>
          <t>1.870,00</t>
        </is>
      </c>
      <c r="C293" s="6" t="inlineStr">
        <is>
          <t>25/08/2026</t>
        </is>
      </c>
      <c r="D293" s="6" t="inlineStr">
        <is>
          <t>INSTALACION ELÉCTRICA</t>
        </is>
      </c>
      <c r="E293" s="6" t="inlineStr"/>
      <c r="F293" s="6" t="inlineStr">
        <is>
          <t>SIN IMPUTAR</t>
        </is>
      </c>
      <c r="G293" s="4" t="n">
        <v>-2853.33</v>
      </c>
    </row>
    <row r="294">
      <c r="A294" s="6" t="inlineStr">
        <is>
          <t>24016 - PLAZA CIRCULAR</t>
        </is>
      </c>
      <c r="B294" s="6" t="inlineStr">
        <is>
          <t>51</t>
        </is>
      </c>
      <c r="C294" s="6" t="inlineStr">
        <is>
          <t>01/08/2026</t>
        </is>
      </c>
      <c r="D294" s="6" t="inlineStr">
        <is>
          <t>INSTALACION ELÉCTRICA</t>
        </is>
      </c>
      <c r="E294" s="6" t="inlineStr"/>
      <c r="F294" s="6" t="inlineStr">
        <is>
          <t>SIN IMPUTAR</t>
        </is>
      </c>
      <c r="G294" s="4" t="n">
        <v>2853.33</v>
      </c>
    </row>
    <row r="295">
      <c r="A295" s="6" t="inlineStr">
        <is>
          <t>24016 - PLAZA CIRCULAR</t>
        </is>
      </c>
      <c r="B295" s="6" t="inlineStr">
        <is>
          <t>21</t>
        </is>
      </c>
      <c r="C295" s="6" t="inlineStr">
        <is>
          <t>16/04/2026</t>
        </is>
      </c>
      <c r="D295" s="6" t="inlineStr">
        <is>
          <t>INSTALACIÓN ELÉCTRICA</t>
        </is>
      </c>
      <c r="E295" s="6" t="inlineStr"/>
      <c r="F295" s="6" t="inlineStr">
        <is>
          <t>IMPUTADO</t>
        </is>
      </c>
      <c r="G295" s="4" t="n">
        <v>2853.33</v>
      </c>
    </row>
    <row r="296">
      <c r="A296" s="6" t="inlineStr">
        <is>
          <t>24016 - PLAZA CIRCULAR</t>
        </is>
      </c>
      <c r="B296" s="6" t="inlineStr">
        <is>
          <t>INV/2026/00152</t>
        </is>
      </c>
      <c r="C296" s="6" t="inlineStr">
        <is>
          <t>02/03/2026</t>
        </is>
      </c>
      <c r="D296" s="6" t="inlineStr">
        <is>
          <t>GRUA MUDANZA LA FLOTA #levantamiento pavimento/albañileria</t>
        </is>
      </c>
      <c r="E296" s="6" t="inlineStr">
        <is>
          <t>MUDANZAS LA FLOTA SL</t>
        </is>
      </c>
      <c r="F296" s="6" t="inlineStr">
        <is>
          <t>IMPUTADO</t>
        </is>
      </c>
      <c r="G296" s="4" t="n">
        <v>2310</v>
      </c>
    </row>
    <row r="297">
      <c r="A297" s="6" t="inlineStr">
        <is>
          <t>24016 - PLAZA CIRCULAR</t>
        </is>
      </c>
      <c r="B297" s="6" t="inlineStr">
        <is>
          <t>INV/2026/00094</t>
        </is>
      </c>
      <c r="C297" s="6" t="inlineStr">
        <is>
          <t>04/02/2026</t>
        </is>
      </c>
      <c r="D297" s="6" t="inlineStr">
        <is>
          <t>GRUA DE LA FLOTA</t>
        </is>
      </c>
      <c r="E297" s="6" t="inlineStr">
        <is>
          <t>MUDANZAS LA FLOTA SL</t>
        </is>
      </c>
      <c r="F297" s="6" t="inlineStr">
        <is>
          <t>IMPUTADO</t>
        </is>
      </c>
      <c r="G297" s="4" t="n">
        <v>1985</v>
      </c>
    </row>
    <row r="298">
      <c r="A298" s="6" t="inlineStr">
        <is>
          <t>24016 - PLAZA CIRCULAR</t>
        </is>
      </c>
      <c r="B298" s="6" t="inlineStr">
        <is>
          <t>TND/170</t>
        </is>
      </c>
      <c r="C298" s="6" t="inlineStr">
        <is>
          <t>30/09/2026</t>
        </is>
      </c>
      <c r="D298" s="6" t="inlineStr">
        <is>
          <t>SISTEMA HISENSE / # MEJORA</t>
        </is>
      </c>
      <c r="E298" s="6" t="inlineStr">
        <is>
          <t>GOCLIMA FRIO Y CALOR SL</t>
        </is>
      </c>
      <c r="F298" s="6" t="inlineStr">
        <is>
          <t>SIN IMPUTAR</t>
        </is>
      </c>
      <c r="G298" s="4" t="n">
        <v>1599</v>
      </c>
    </row>
    <row r="299">
      <c r="A299" s="6" t="inlineStr">
        <is>
          <t>24016 - PLAZA CIRCULAR</t>
        </is>
      </c>
      <c r="B299" s="6" t="inlineStr">
        <is>
          <t>105</t>
        </is>
      </c>
      <c r="C299" s="6" t="inlineStr">
        <is>
          <t>26/06/2026</t>
        </is>
      </c>
      <c r="D299" s="6" t="inlineStr">
        <is>
          <t>BAJANTES COMUNIDAD</t>
        </is>
      </c>
      <c r="E299" s="6" t="inlineStr">
        <is>
          <t>HIDROELIKE SLL</t>
        </is>
      </c>
      <c r="F299" s="6" t="inlineStr">
        <is>
          <t>IMPUTADO</t>
        </is>
      </c>
      <c r="G299" s="4" t="n">
        <v>1542.05</v>
      </c>
    </row>
    <row r="300">
      <c r="A300" s="6" t="inlineStr">
        <is>
          <t>24016 - PLAZA CIRCULAR</t>
        </is>
      </c>
      <c r="B300" s="6" t="inlineStr">
        <is>
          <t>26/0922</t>
        </is>
      </c>
      <c r="C300" s="6" t="inlineStr">
        <is>
          <t>28/02/2026</t>
        </is>
      </c>
      <c r="D300" s="6" t="inlineStr">
        <is>
          <t>CONTENEDORES #levantamiento pavimento</t>
        </is>
      </c>
      <c r="E300" s="6" t="inlineStr">
        <is>
          <t>CONTENEDORES REUNIDOS SL</t>
        </is>
      </c>
      <c r="F300" s="6" t="inlineStr">
        <is>
          <t>IMPUTADO</t>
        </is>
      </c>
      <c r="G300" s="4" t="n">
        <v>1450</v>
      </c>
    </row>
    <row r="301">
      <c r="A301" s="6" t="inlineStr">
        <is>
          <t>24016 - PLAZA CIRCULAR</t>
        </is>
      </c>
      <c r="B301" s="6" t="inlineStr">
        <is>
          <t>26/0102</t>
        </is>
      </c>
      <c r="C301" s="6" t="inlineStr">
        <is>
          <t>31/01/2026</t>
        </is>
      </c>
      <c r="D301" s="6" t="inlineStr">
        <is>
          <t>CONTENEDORES #Material/Proveedor</t>
        </is>
      </c>
      <c r="E301" s="6" t="inlineStr">
        <is>
          <t>CONTENEDORES REUNIDOS SL</t>
        </is>
      </c>
      <c r="F301" s="6" t="inlineStr">
        <is>
          <t>IMPUTADO</t>
        </is>
      </c>
      <c r="G301" s="4" t="n">
        <v>1090</v>
      </c>
    </row>
    <row r="302">
      <c r="A302" s="6" t="inlineStr">
        <is>
          <t>24016 - PLAZA CIRCULAR</t>
        </is>
      </c>
      <c r="B302" s="6" t="inlineStr">
        <is>
          <t>A-26/0002591</t>
        </is>
      </c>
      <c r="C302" s="6" t="inlineStr">
        <is>
          <t>07/07/2026</t>
        </is>
      </c>
      <c r="D302" s="6" t="inlineStr">
        <is>
          <t>COLA PORCELANICO</t>
        </is>
      </c>
      <c r="E302" s="6" t="inlineStr">
        <is>
          <t>CONSYDECOR SL</t>
        </is>
      </c>
      <c r="F302" s="6" t="inlineStr">
        <is>
          <t>IMPUTADO</t>
        </is>
      </c>
      <c r="G302" s="4" t="n">
        <v>1059.2</v>
      </c>
    </row>
    <row r="303">
      <c r="A303" s="6" t="inlineStr">
        <is>
          <t>24016 - PLAZA CIRCULAR</t>
        </is>
      </c>
      <c r="B303" s="6" t="inlineStr">
        <is>
          <t>26/4173</t>
        </is>
      </c>
      <c r="C303" s="6" t="inlineStr">
        <is>
          <t>31/07/2026</t>
        </is>
      </c>
      <c r="D303" s="6" t="inlineStr">
        <is>
          <t>CONTENEDORES</t>
        </is>
      </c>
      <c r="E303" s="6" t="inlineStr">
        <is>
          <t>CONTENEDORES REUNIDOS SL</t>
        </is>
      </c>
      <c r="F303" s="6" t="inlineStr">
        <is>
          <t>IMPUTADO</t>
        </is>
      </c>
      <c r="G303" s="4" t="n">
        <v>1015</v>
      </c>
    </row>
    <row r="304">
      <c r="A304" s="6" t="inlineStr">
        <is>
          <t>24016 - PLAZA CIRCULAR</t>
        </is>
      </c>
      <c r="B304" s="6" t="inlineStr">
        <is>
          <t>INV/2026/00335</t>
        </is>
      </c>
      <c r="C304" s="6" t="inlineStr">
        <is>
          <t>05/05/2026</t>
        </is>
      </c>
      <c r="D304" s="6" t="inlineStr">
        <is>
          <t>MUDANZA LA FLOTA</t>
        </is>
      </c>
      <c r="E304" s="6" t="inlineStr">
        <is>
          <t>MUDANZAS LA FLOTA SL</t>
        </is>
      </c>
      <c r="F304" s="6" t="inlineStr">
        <is>
          <t>IMPUTADO</t>
        </is>
      </c>
      <c r="G304" s="4" t="n">
        <v>982.5</v>
      </c>
    </row>
    <row r="305">
      <c r="A305" s="6" t="inlineStr">
        <is>
          <t>24016 - PLAZA CIRCULAR</t>
        </is>
      </c>
      <c r="B305" s="6" t="inlineStr">
        <is>
          <t>INV/2026/00254</t>
        </is>
      </c>
      <c r="C305" s="6" t="inlineStr">
        <is>
          <t>13/04/2026</t>
        </is>
      </c>
      <c r="D305" s="6" t="inlineStr">
        <is>
          <t>PLATAFORMA FLOTA #albañileria</t>
        </is>
      </c>
      <c r="E305" s="6" t="inlineStr">
        <is>
          <t>MUDANZAS LA FLOTA SL</t>
        </is>
      </c>
      <c r="F305" s="6" t="inlineStr">
        <is>
          <t>IMPUTADO</t>
        </is>
      </c>
      <c r="G305" s="4" t="n">
        <v>920</v>
      </c>
    </row>
    <row r="306">
      <c r="A306" s="6" t="inlineStr">
        <is>
          <t>24016 - PLAZA CIRCULAR</t>
        </is>
      </c>
      <c r="B306" s="6" t="inlineStr">
        <is>
          <t>INV/2026/00434</t>
        </is>
      </c>
      <c r="C306" s="6" t="inlineStr">
        <is>
          <t>02/06/2026</t>
        </is>
      </c>
      <c r="D306" s="6" t="inlineStr">
        <is>
          <t>GRUA LA FLOTA</t>
        </is>
      </c>
      <c r="E306" s="6" t="inlineStr">
        <is>
          <t>MUDANZAS LA FLOTA SL</t>
        </is>
      </c>
      <c r="F306" s="6" t="inlineStr">
        <is>
          <t>IMPUTADO</t>
        </is>
      </c>
      <c r="G306" s="4" t="n">
        <v>638.75</v>
      </c>
    </row>
    <row r="307">
      <c r="A307" s="6" t="inlineStr">
        <is>
          <t>24016 - PLAZA CIRCULAR</t>
        </is>
      </c>
      <c r="B307" s="6" t="inlineStr">
        <is>
          <t>G26.105</t>
        </is>
      </c>
      <c r="C307" s="6" t="inlineStr">
        <is>
          <t>31/07/2026</t>
        </is>
      </c>
      <c r="D307" s="6" t="inlineStr">
        <is>
          <t>GRUA</t>
        </is>
      </c>
      <c r="E307" s="6" t="inlineStr">
        <is>
          <t>GRUAS Y MAQUINARIA PETREL SL</t>
        </is>
      </c>
      <c r="F307" s="6" t="inlineStr">
        <is>
          <t>IMPUTADO</t>
        </is>
      </c>
      <c r="G307" s="4" t="n">
        <v>585</v>
      </c>
    </row>
    <row r="308">
      <c r="A308" s="6" t="inlineStr">
        <is>
          <t>24016 - PLAZA CIRCULAR</t>
        </is>
      </c>
      <c r="B308" s="6" t="inlineStr">
        <is>
          <t>38538</t>
        </is>
      </c>
      <c r="C308" s="6" t="inlineStr">
        <is>
          <t>14/06/2026</t>
        </is>
      </c>
      <c r="D308" s="6" t="inlineStr">
        <is>
          <t>GRIFERIA EMPOTRADA</t>
        </is>
      </c>
      <c r="E308" s="6" t="inlineStr">
        <is>
          <t>SALTOKI ALICANTE SL.</t>
        </is>
      </c>
      <c r="F308" s="6" t="inlineStr">
        <is>
          <t>IMPUTADO</t>
        </is>
      </c>
      <c r="G308" s="4" t="n">
        <v>579.25</v>
      </c>
    </row>
    <row r="309">
      <c r="A309" s="6" t="inlineStr">
        <is>
          <t>24016 - PLAZA CIRCULAR</t>
        </is>
      </c>
      <c r="B309" s="6" t="inlineStr">
        <is>
          <t>INV/2026/00765</t>
        </is>
      </c>
      <c r="C309" s="6" t="inlineStr">
        <is>
          <t>28/09/2026</t>
        </is>
      </c>
      <c r="D309" s="6" t="inlineStr">
        <is>
          <t>SERVICIO GRUA</t>
        </is>
      </c>
      <c r="E309" s="6" t="inlineStr">
        <is>
          <t>MUDANZAS LA FLOTA SL</t>
        </is>
      </c>
      <c r="F309" s="6" t="inlineStr">
        <is>
          <t>SIN IMPUTAR</t>
        </is>
      </c>
      <c r="G309" s="4" t="n">
        <v>525</v>
      </c>
    </row>
    <row r="310">
      <c r="A310" s="6" t="inlineStr">
        <is>
          <t>24016 - PLAZA CIRCULAR</t>
        </is>
      </c>
      <c r="B310" s="6" t="inlineStr">
        <is>
          <t>062-0009-252127</t>
        </is>
      </c>
      <c r="C310" s="6" t="inlineStr">
        <is>
          <t>18/09/2026</t>
        </is>
      </c>
      <c r="D310" s="6" t="inlineStr">
        <is>
          <t>PEDIDO LEROY</t>
        </is>
      </c>
      <c r="E310" s="6" t="inlineStr">
        <is>
          <t>LEROY MERLIN ESPAÑA SL</t>
        </is>
      </c>
      <c r="F310" s="6" t="inlineStr">
        <is>
          <t>SIN IMPUTAR</t>
        </is>
      </c>
      <c r="G310" s="4" t="n">
        <v>492.56</v>
      </c>
    </row>
    <row r="311">
      <c r="A311" s="6" t="inlineStr">
        <is>
          <t>24016 - PLAZA CIRCULAR</t>
        </is>
      </c>
      <c r="B311" s="6" t="inlineStr">
        <is>
          <t>26/2694</t>
        </is>
      </c>
      <c r="C311" s="6" t="inlineStr">
        <is>
          <t>31/05/2026</t>
        </is>
      </c>
      <c r="D311" s="6" t="inlineStr">
        <is>
          <t>CONTENEDOR</t>
        </is>
      </c>
      <c r="E311" s="6" t="inlineStr">
        <is>
          <t>CONTENEDORES REUNIDOS SL</t>
        </is>
      </c>
      <c r="F311" s="6" t="inlineStr">
        <is>
          <t>IMPUTADO</t>
        </is>
      </c>
      <c r="G311" s="4" t="n">
        <v>290</v>
      </c>
    </row>
    <row r="312">
      <c r="A312" s="6" t="inlineStr">
        <is>
          <t>24016 - PLAZA CIRCULAR</t>
        </is>
      </c>
      <c r="B312" s="6" t="inlineStr">
        <is>
          <t>7300283565</t>
        </is>
      </c>
      <c r="C312" s="6" t="inlineStr">
        <is>
          <t>13/05/2026</t>
        </is>
      </c>
      <c r="D312" s="6" t="inlineStr">
        <is>
          <t>CASETON PLADUR</t>
        </is>
      </c>
      <c r="E312" s="6" t="inlineStr">
        <is>
          <t>SAINT GOBAIN IDAPLAC SL</t>
        </is>
      </c>
      <c r="F312" s="6" t="inlineStr">
        <is>
          <t>IMPUTADO</t>
        </is>
      </c>
      <c r="G312" s="4" t="n">
        <v>248.99</v>
      </c>
    </row>
    <row r="313">
      <c r="A313" s="6" t="inlineStr">
        <is>
          <t>24016 - PLAZA CIRCULAR</t>
        </is>
      </c>
      <c r="B313" s="6" t="inlineStr">
        <is>
          <t>031-0005-144343</t>
        </is>
      </c>
      <c r="C313" s="6" t="inlineStr">
        <is>
          <t>04/05/2026</t>
        </is>
      </c>
      <c r="D313" s="6" t="inlineStr">
        <is>
          <t>ESTRUCTURA PLADUR</t>
        </is>
      </c>
      <c r="E313" s="6" t="inlineStr">
        <is>
          <t>BRICOLAJE BRICOMAN SLU</t>
        </is>
      </c>
      <c r="F313" s="6" t="inlineStr">
        <is>
          <t>IMPUTADO</t>
        </is>
      </c>
      <c r="G313" s="4" t="n">
        <v>213.09</v>
      </c>
    </row>
    <row r="314">
      <c r="A314" s="6" t="inlineStr">
        <is>
          <t>24016 - PLAZA CIRCULAR</t>
        </is>
      </c>
      <c r="B314" s="6" t="inlineStr">
        <is>
          <t>ST26002</t>
        </is>
      </c>
      <c r="C314" s="6" t="inlineStr">
        <is>
          <t>01/04/2026</t>
        </is>
      </c>
      <c r="D314" s="6" t="inlineStr">
        <is>
          <t>PRIMERA TOMA</t>
        </is>
      </c>
      <c r="E314" s="6" t="inlineStr">
        <is>
          <t>MOVE2GO SL.</t>
        </is>
      </c>
      <c r="F314" s="6" t="inlineStr">
        <is>
          <t>IMPUTADO</t>
        </is>
      </c>
      <c r="G314" s="4" t="n">
        <v>195</v>
      </c>
    </row>
    <row r="315">
      <c r="A315" s="6" t="inlineStr">
        <is>
          <t>24016 - PLAZA CIRCULAR</t>
        </is>
      </c>
      <c r="B315" s="6" t="inlineStr">
        <is>
          <t>G26.074</t>
        </is>
      </c>
      <c r="C315" s="6" t="inlineStr">
        <is>
          <t>31/05/2026</t>
        </is>
      </c>
      <c r="D315" s="6" t="inlineStr">
        <is>
          <t>GRUA</t>
        </is>
      </c>
      <c r="E315" s="6" t="inlineStr">
        <is>
          <t>GRUAS Y MAQUINARIA PETREL SL</t>
        </is>
      </c>
      <c r="F315" s="6" t="inlineStr">
        <is>
          <t>IMPUTADO</t>
        </is>
      </c>
      <c r="G315" s="4" t="n">
        <v>195</v>
      </c>
    </row>
    <row r="316">
      <c r="A316" s="6" t="inlineStr">
        <is>
          <t>24016 - PLAZA CIRCULAR</t>
        </is>
      </c>
      <c r="B316" s="6" t="inlineStr">
        <is>
          <t>062-0009-255202</t>
        </is>
      </c>
      <c r="C316" s="6" t="inlineStr">
        <is>
          <t>24/09/2026</t>
        </is>
      </c>
      <c r="D316" s="6" t="inlineStr">
        <is>
          <t>CEMENTO/PLACA HABITO/RASTREL/YESO</t>
        </is>
      </c>
      <c r="E316" s="6" t="inlineStr">
        <is>
          <t>LEROY MERLIN ESPAÑA SL</t>
        </is>
      </c>
      <c r="F316" s="6" t="inlineStr">
        <is>
          <t>SIN IMPUTAR</t>
        </is>
      </c>
      <c r="G316" s="4" t="n">
        <v>178.98</v>
      </c>
    </row>
    <row r="317">
      <c r="A317" s="6" t="inlineStr">
        <is>
          <t>24016 - PLAZA CIRCULAR</t>
        </is>
      </c>
      <c r="B317" s="6" t="inlineStr">
        <is>
          <t>7300286614</t>
        </is>
      </c>
      <c r="C317" s="6" t="inlineStr">
        <is>
          <t>20/05/2026</t>
        </is>
      </c>
      <c r="D317" s="6" t="inlineStr">
        <is>
          <t>MATERIAL PLADUR</t>
        </is>
      </c>
      <c r="E317" s="6" t="inlineStr">
        <is>
          <t>SAINT GOBAIN IDAPLAC SL</t>
        </is>
      </c>
      <c r="F317" s="6" t="inlineStr">
        <is>
          <t>IMPUTADO</t>
        </is>
      </c>
      <c r="G317" s="4" t="n">
        <v>170.23</v>
      </c>
    </row>
    <row r="318">
      <c r="A318" s="6" t="inlineStr">
        <is>
          <t>24016 - PLAZA CIRCULAR</t>
        </is>
      </c>
      <c r="B318" s="6" t="inlineStr">
        <is>
          <t>105-0005-336280</t>
        </is>
      </c>
      <c r="C318" s="6" t="inlineStr">
        <is>
          <t>11/05/2026</t>
        </is>
      </c>
      <c r="D318" s="6" t="inlineStr">
        <is>
          <t>PLADUR</t>
        </is>
      </c>
      <c r="E318" s="6" t="inlineStr">
        <is>
          <t>LEROY MERLIN ESPAÑA SL</t>
        </is>
      </c>
      <c r="F318" s="6" t="inlineStr">
        <is>
          <t>IMPUTADO</t>
        </is>
      </c>
      <c r="G318" s="4" t="n">
        <v>148.03</v>
      </c>
    </row>
    <row r="319">
      <c r="A319" s="6" t="inlineStr">
        <is>
          <t>24016 - PLAZA CIRCULAR</t>
        </is>
      </c>
      <c r="B319" s="6" t="inlineStr">
        <is>
          <t>26/4174</t>
        </is>
      </c>
      <c r="C319" s="6" t="inlineStr">
        <is>
          <t>31/07/2026</t>
        </is>
      </c>
      <c r="D319" s="6" t="inlineStr">
        <is>
          <t>CONTENEDORES</t>
        </is>
      </c>
      <c r="E319" s="6" t="inlineStr">
        <is>
          <t>CONTENEDORES REUNIDOS SL</t>
        </is>
      </c>
      <c r="F319" s="6" t="inlineStr">
        <is>
          <t>IMPUTADO</t>
        </is>
      </c>
      <c r="G319" s="4" t="n">
        <v>145</v>
      </c>
    </row>
    <row r="320">
      <c r="A320" s="6" t="inlineStr">
        <is>
          <t>24016 - PLAZA CIRCULAR</t>
        </is>
      </c>
      <c r="B320" s="6" t="inlineStr">
        <is>
          <t>26/2425</t>
        </is>
      </c>
      <c r="C320" s="6" t="inlineStr">
        <is>
          <t>30/04/2026</t>
        </is>
      </c>
      <c r="D320" s="6" t="inlineStr">
        <is>
          <t>CONTENEDORES</t>
        </is>
      </c>
      <c r="E320" s="6" t="inlineStr">
        <is>
          <t>CONTENEDORES REUNIDOS SL</t>
        </is>
      </c>
      <c r="F320" s="6" t="inlineStr">
        <is>
          <t>IMPUTADO</t>
        </is>
      </c>
      <c r="G320" s="4" t="n">
        <v>145</v>
      </c>
    </row>
    <row r="321">
      <c r="A321" s="6" t="inlineStr">
        <is>
          <t>24016 - PLAZA CIRCULAR</t>
        </is>
      </c>
      <c r="B321" s="6" t="inlineStr">
        <is>
          <t>26/1393</t>
        </is>
      </c>
      <c r="C321" s="6" t="inlineStr">
        <is>
          <t>31/03/2026</t>
        </is>
      </c>
      <c r="D321" s="6" t="inlineStr">
        <is>
          <t>CONTENEDOR #derrbio tabiqueria interior, piso, baños y galeria</t>
        </is>
      </c>
      <c r="E321" s="6" t="inlineStr">
        <is>
          <t>CONTENEDORES REUNIDOS SL</t>
        </is>
      </c>
      <c r="F321" s="6" t="inlineStr">
        <is>
          <t>IMPUTADO</t>
        </is>
      </c>
      <c r="G321" s="4" t="n">
        <v>145</v>
      </c>
    </row>
    <row r="322">
      <c r="A322" s="6" t="inlineStr">
        <is>
          <t>24016 - PLAZA CIRCULAR</t>
        </is>
      </c>
      <c r="B322" s="6" t="inlineStr">
        <is>
          <t>062-0009-250239</t>
        </is>
      </c>
      <c r="C322" s="6" t="inlineStr">
        <is>
          <t>15/09/2026</t>
        </is>
      </c>
      <c r="D322" s="6" t="inlineStr">
        <is>
          <t>SACO ARENA/EXTRACTOR/TUBO/SILICONA</t>
        </is>
      </c>
      <c r="E322" s="6" t="inlineStr">
        <is>
          <t>LEROY MERLIN ESPAÑA SL</t>
        </is>
      </c>
      <c r="F322" s="6" t="inlineStr">
        <is>
          <t>SIN IMPUTAR</t>
        </is>
      </c>
      <c r="G322" s="4" t="n">
        <v>144.74</v>
      </c>
    </row>
    <row r="323">
      <c r="A323" s="6" t="inlineStr">
        <is>
          <t>24016 - PLAZA CIRCULAR</t>
        </is>
      </c>
      <c r="B323" s="6" t="inlineStr">
        <is>
          <t>FV26-08532</t>
        </is>
      </c>
      <c r="C323" s="6" t="inlineStr">
        <is>
          <t>31/05/2026</t>
        </is>
      </c>
      <c r="D323" s="6" t="inlineStr">
        <is>
          <t>MATERIAL PLADUR</t>
        </is>
      </c>
      <c r="E323" s="6" t="inlineStr">
        <is>
          <t>SUMINISTROS INDUSTRIALES FARELL SA</t>
        </is>
      </c>
      <c r="F323" s="6" t="inlineStr">
        <is>
          <t>IMPUTADO</t>
        </is>
      </c>
      <c r="G323" s="4" t="n">
        <v>124.62</v>
      </c>
    </row>
    <row r="324">
      <c r="A324" s="6" t="inlineStr">
        <is>
          <t>24016 - PLAZA CIRCULAR</t>
        </is>
      </c>
      <c r="B324" s="6" t="inlineStr">
        <is>
          <t>A/2287</t>
        </is>
      </c>
      <c r="C324" s="6" t="inlineStr">
        <is>
          <t>30/09/2026</t>
        </is>
      </c>
      <c r="D324" s="6" t="inlineStr">
        <is>
          <t>SACA ARENA/LLANA/PEGOLAND</t>
        </is>
      </c>
      <c r="E324" s="6" t="inlineStr">
        <is>
          <t>MATERIALES DE CONSTRUCCION LOS CAPITOS SL.</t>
        </is>
      </c>
      <c r="F324" s="6" t="inlineStr">
        <is>
          <t>SIN IMPUTAR</t>
        </is>
      </c>
      <c r="G324" s="4" t="n">
        <v>103.22</v>
      </c>
    </row>
    <row r="325">
      <c r="A325" s="6" t="inlineStr">
        <is>
          <t>24016 - PLAZA CIRCULAR</t>
        </is>
      </c>
      <c r="B325" s="6" t="inlineStr">
        <is>
          <t>A-26/0003409</t>
        </is>
      </c>
      <c r="C325" s="6" t="inlineStr">
        <is>
          <t>15/09/2026</t>
        </is>
      </c>
      <c r="D325" s="6" t="inlineStr">
        <is>
          <t>LLANA/ARENA/ROLLO CARTON/CINTA/ARCILLA</t>
        </is>
      </c>
      <c r="E325" s="6" t="inlineStr">
        <is>
          <t>CONSYDECOR SL</t>
        </is>
      </c>
      <c r="F325" s="6" t="inlineStr">
        <is>
          <t>SIN IMPUTAR</t>
        </is>
      </c>
      <c r="G325" s="4" t="n">
        <v>101.32</v>
      </c>
    </row>
    <row r="326">
      <c r="A326" s="6" t="inlineStr">
        <is>
          <t>24016 - PLAZA CIRCULAR</t>
        </is>
      </c>
      <c r="B326" s="6" t="inlineStr">
        <is>
          <t>026-0005-510149</t>
        </is>
      </c>
      <c r="C326" s="6" t="inlineStr">
        <is>
          <t>27/05/2026</t>
        </is>
      </c>
      <c r="D326" s="6" t="inlineStr">
        <is>
          <t>PLADUR</t>
        </is>
      </c>
      <c r="E326" s="6" t="inlineStr">
        <is>
          <t>BRICOLAJE BRICOMAN SLU</t>
        </is>
      </c>
      <c r="F326" s="6" t="inlineStr">
        <is>
          <t>IMPUTADO</t>
        </is>
      </c>
      <c r="G326" s="4" t="n">
        <v>93.95999999999999</v>
      </c>
    </row>
    <row r="327">
      <c r="A327" s="6" t="inlineStr">
        <is>
          <t>24016 - PLAZA CIRCULAR</t>
        </is>
      </c>
      <c r="B327" s="6" t="inlineStr">
        <is>
          <t>031-0005-144272</t>
        </is>
      </c>
      <c r="C327" s="6" t="inlineStr">
        <is>
          <t>04/05/2026</t>
        </is>
      </c>
      <c r="D327" s="6" t="inlineStr">
        <is>
          <t>ESTRUCTURA PLADUR</t>
        </is>
      </c>
      <c r="E327" s="6" t="inlineStr">
        <is>
          <t>BRICOLAJE BRICOMAN SLU</t>
        </is>
      </c>
      <c r="F327" s="6" t="inlineStr">
        <is>
          <t>IMPUTADO</t>
        </is>
      </c>
      <c r="G327" s="4" t="n">
        <v>90.25</v>
      </c>
    </row>
    <row r="328">
      <c r="A328" s="6" t="inlineStr">
        <is>
          <t>24016 - PLAZA CIRCULAR</t>
        </is>
      </c>
      <c r="B328" s="6" t="inlineStr">
        <is>
          <t>FV26-015871</t>
        </is>
      </c>
      <c r="C328" s="6" t="inlineStr">
        <is>
          <t>13/06/2026</t>
        </is>
      </c>
      <c r="D328" s="6" t="inlineStr">
        <is>
          <t>PLADUR</t>
        </is>
      </c>
      <c r="E328" s="6" t="inlineStr">
        <is>
          <t>HIJOS DE JOSE BUSQUIER SL</t>
        </is>
      </c>
      <c r="F328" s="6" t="inlineStr">
        <is>
          <t>IMPUTADO</t>
        </is>
      </c>
      <c r="G328" s="4" t="n">
        <v>47.22</v>
      </c>
    </row>
    <row r="329">
      <c r="A329" s="6" t="inlineStr">
        <is>
          <t>24016 - PLAZA CIRCULAR</t>
        </is>
      </c>
      <c r="B329" s="6" t="inlineStr">
        <is>
          <t>026-51-07/0008724</t>
        </is>
      </c>
      <c r="C329" s="6" t="inlineStr">
        <is>
          <t>04/06/2026</t>
        </is>
      </c>
      <c r="D329" s="6" t="inlineStr">
        <is>
          <t>MATERIAL PLADUR</t>
        </is>
      </c>
      <c r="E329" s="6" t="inlineStr">
        <is>
          <t>BRICOLAJE BRICOMAN SLU</t>
        </is>
      </c>
      <c r="F329" s="6" t="inlineStr">
        <is>
          <t>IMPUTADO</t>
        </is>
      </c>
      <c r="G329" s="4" t="n">
        <v>47.11</v>
      </c>
    </row>
    <row r="330">
      <c r="A330" s="6" t="inlineStr">
        <is>
          <t>24016 - PLAZA CIRCULAR</t>
        </is>
      </c>
      <c r="B330" s="6" t="inlineStr">
        <is>
          <t>026-0009-581851</t>
        </is>
      </c>
      <c r="C330" s="6" t="inlineStr">
        <is>
          <t>07/09/2026</t>
        </is>
      </c>
      <c r="D330" s="6" t="inlineStr">
        <is>
          <t>MORTERO HIDRO/ROLLO #albañileria</t>
        </is>
      </c>
      <c r="E330" s="6" t="inlineStr">
        <is>
          <t>BRICOLAJE BRICOMAN SLU</t>
        </is>
      </c>
      <c r="F330" s="6" t="inlineStr">
        <is>
          <t>SIN IMPUTAR</t>
        </is>
      </c>
      <c r="G330" s="4" t="n">
        <v>45.87</v>
      </c>
    </row>
    <row r="331">
      <c r="A331" s="6" t="inlineStr">
        <is>
          <t>24016 - PLAZA CIRCULAR</t>
        </is>
      </c>
      <c r="B331" s="6" t="inlineStr">
        <is>
          <t>062-0009-250185</t>
        </is>
      </c>
      <c r="C331" s="6" t="inlineStr">
        <is>
          <t>15/09/2026</t>
        </is>
      </c>
      <c r="D331" s="6" t="inlineStr">
        <is>
          <t>CEMENTO/SACO/ARCILLA</t>
        </is>
      </c>
      <c r="E331" s="6" t="inlineStr">
        <is>
          <t>LEROY MERLIN ESPAÑA SL</t>
        </is>
      </c>
      <c r="F331" s="6" t="inlineStr">
        <is>
          <t>SIN IMPUTAR</t>
        </is>
      </c>
      <c r="G331" s="4" t="n">
        <v>44.02</v>
      </c>
    </row>
    <row r="332">
      <c r="A332" s="6" t="inlineStr">
        <is>
          <t>24016 - PLAZA CIRCULAR</t>
        </is>
      </c>
      <c r="B332" s="6" t="inlineStr">
        <is>
          <t>260633</t>
        </is>
      </c>
      <c r="C332" s="6" t="inlineStr">
        <is>
          <t>17/06/2026</t>
        </is>
      </c>
      <c r="D332" s="6" t="inlineStr">
        <is>
          <t>VARIOS</t>
        </is>
      </c>
      <c r="E332" s="6" t="inlineStr">
        <is>
          <t>ROSALIA MARTINEZ RUIZ</t>
        </is>
      </c>
      <c r="F332" s="6" t="inlineStr">
        <is>
          <t>IMPUTADO</t>
        </is>
      </c>
      <c r="G332" s="4" t="n">
        <v>41.84</v>
      </c>
    </row>
    <row r="333">
      <c r="A333" s="6" t="inlineStr">
        <is>
          <t>24016 - PLAZA CIRCULAR</t>
        </is>
      </c>
      <c r="B333" s="6" t="inlineStr">
        <is>
          <t>00-000590/2026</t>
        </is>
      </c>
      <c r="C333" s="6" t="inlineStr">
        <is>
          <t>16/04/2026</t>
        </is>
      </c>
      <c r="D333" s="6" t="inlineStr">
        <is>
          <t>PLADUR</t>
        </is>
      </c>
      <c r="E333" s="6" t="inlineStr">
        <is>
          <t>MATERIALES DE CONSTRUCCION EL CARACOLES SL</t>
        </is>
      </c>
      <c r="F333" s="6" t="inlineStr">
        <is>
          <t>IMPUTADO</t>
        </is>
      </c>
      <c r="G333" s="4" t="n">
        <v>41.46</v>
      </c>
    </row>
    <row r="334">
      <c r="A334" s="6" t="inlineStr">
        <is>
          <t>24016 - PLAZA CIRCULAR</t>
        </is>
      </c>
      <c r="B334" s="6" t="inlineStr">
        <is>
          <t>062-0009-254429</t>
        </is>
      </c>
      <c r="C334" s="6" t="inlineStr">
        <is>
          <t>23/09/2026</t>
        </is>
      </c>
      <c r="D334" s="6" t="inlineStr">
        <is>
          <t>BOLSA PAPEL/MASILLAS</t>
        </is>
      </c>
      <c r="E334" s="6" t="inlineStr">
        <is>
          <t>LEROY MERLIN ESPAÑA SL</t>
        </is>
      </c>
      <c r="F334" s="6" t="inlineStr">
        <is>
          <t>SIN IMPUTAR</t>
        </is>
      </c>
      <c r="G334" s="4" t="n">
        <v>41.35</v>
      </c>
    </row>
    <row r="335">
      <c r="A335" s="6" t="inlineStr">
        <is>
          <t>24016 - PLAZA CIRCULAR</t>
        </is>
      </c>
      <c r="B335" s="6" t="inlineStr">
        <is>
          <t>026-0006-536939</t>
        </is>
      </c>
      <c r="C335" s="6" t="inlineStr">
        <is>
          <t>29/06/2026</t>
        </is>
      </c>
      <c r="D335" s="6" t="inlineStr">
        <is>
          <t>MATERIAL</t>
        </is>
      </c>
      <c r="E335" s="6" t="inlineStr">
        <is>
          <t>BRICOLAJE BRICOMAN SLU</t>
        </is>
      </c>
      <c r="F335" s="6" t="inlineStr">
        <is>
          <t>IMPUTADO</t>
        </is>
      </c>
      <c r="G335" s="4" t="n">
        <v>40.79</v>
      </c>
    </row>
    <row r="336">
      <c r="A336" s="6" t="inlineStr">
        <is>
          <t>24016 - PLAZA CIRCULAR</t>
        </is>
      </c>
      <c r="B336" s="6" t="inlineStr">
        <is>
          <t>1.714,00</t>
        </is>
      </c>
      <c r="C336" s="6" t="inlineStr">
        <is>
          <t>12/06/2026</t>
        </is>
      </c>
      <c r="D336" s="6" t="inlineStr">
        <is>
          <t>PLADUR</t>
        </is>
      </c>
      <c r="E336" s="6" t="inlineStr">
        <is>
          <t>LEROY MERLIN ESPAÑA SL</t>
        </is>
      </c>
      <c r="F336" s="6" t="inlineStr">
        <is>
          <t>IMPUTADO</t>
        </is>
      </c>
      <c r="G336" s="4" t="n">
        <v>37.11</v>
      </c>
    </row>
    <row r="337">
      <c r="A337" s="6" t="inlineStr">
        <is>
          <t>24016 - PLAZA CIRCULAR</t>
        </is>
      </c>
      <c r="B337" s="6" t="inlineStr">
        <is>
          <t>26/2171</t>
        </is>
      </c>
      <c r="C337" s="6" t="inlineStr">
        <is>
          <t>02/06/2026</t>
        </is>
      </c>
      <c r="D337" s="6" t="inlineStr">
        <is>
          <t>PINTURA #arreglo piso inferior</t>
        </is>
      </c>
      <c r="E337" s="6" t="inlineStr">
        <is>
          <t>SANZ BUILDING 2000 SL</t>
        </is>
      </c>
      <c r="F337" s="6" t="inlineStr">
        <is>
          <t>IMPUTADO</t>
        </is>
      </c>
      <c r="G337" s="4" t="n">
        <v>33.71</v>
      </c>
    </row>
    <row r="338">
      <c r="A338" s="6" t="inlineStr">
        <is>
          <t>24016 - PLAZA CIRCULAR</t>
        </is>
      </c>
      <c r="B338" s="6" t="inlineStr">
        <is>
          <t>062-0004-175953</t>
        </is>
      </c>
      <c r="C338" s="6" t="inlineStr">
        <is>
          <t>27/04/2026</t>
        </is>
      </c>
      <c r="D338" s="6" t="inlineStr">
        <is>
          <t>ESPUMA POLIURETANO / TEJAS</t>
        </is>
      </c>
      <c r="E338" s="6" t="inlineStr">
        <is>
          <t>LEROY MERLIN ESPAÑA SL</t>
        </is>
      </c>
      <c r="F338" s="6" t="inlineStr">
        <is>
          <t>IMPUTADO</t>
        </is>
      </c>
      <c r="G338" s="4" t="n">
        <v>33.06</v>
      </c>
    </row>
    <row r="339">
      <c r="A339" s="6" t="inlineStr">
        <is>
          <t>24016 - PLAZA CIRCULAR</t>
        </is>
      </c>
      <c r="B339" s="6" t="inlineStr">
        <is>
          <t>105-0005-338032</t>
        </is>
      </c>
      <c r="C339" s="6" t="inlineStr">
        <is>
          <t>22/05/2026</t>
        </is>
      </c>
      <c r="D339" s="6" t="inlineStr">
        <is>
          <t>PLADUR</t>
        </is>
      </c>
      <c r="E339" s="6" t="inlineStr">
        <is>
          <t>LEROY MERLIN ESPAÑA SL</t>
        </is>
      </c>
      <c r="F339" s="6" t="inlineStr">
        <is>
          <t>IMPUTADO</t>
        </is>
      </c>
      <c r="G339" s="4" t="n">
        <v>32.33</v>
      </c>
    </row>
    <row r="340">
      <c r="A340" s="6" t="inlineStr">
        <is>
          <t>24016 - PLAZA CIRCULAR</t>
        </is>
      </c>
      <c r="B340" s="6" t="inlineStr">
        <is>
          <t>4736118735</t>
        </is>
      </c>
      <c r="C340" s="6" t="inlineStr">
        <is>
          <t>02/07/2026</t>
        </is>
      </c>
      <c r="D340" s="6" t="inlineStr">
        <is>
          <t>PUNTAS PLADUR</t>
        </is>
      </c>
      <c r="E340" s="6" t="inlineStr">
        <is>
          <t>WURTH ESPAÑA SA</t>
        </is>
      </c>
      <c r="F340" s="6" t="inlineStr">
        <is>
          <t>IMPUTADO</t>
        </is>
      </c>
      <c r="G340" s="4" t="n">
        <v>32.3</v>
      </c>
    </row>
    <row r="341">
      <c r="A341" s="6" t="inlineStr">
        <is>
          <t>24016 - PLAZA CIRCULAR</t>
        </is>
      </c>
      <c r="B341" s="6" t="inlineStr">
        <is>
          <t>260341</t>
        </is>
      </c>
      <c r="C341" s="6" t="inlineStr">
        <is>
          <t>23/06/2026</t>
        </is>
      </c>
      <c r="D341" s="6" t="inlineStr">
        <is>
          <t>PLADUR TECHOS</t>
        </is>
      </c>
      <c r="E341" s="6" t="inlineStr">
        <is>
          <t>ROSALIA MARTINEZ RUIZ</t>
        </is>
      </c>
      <c r="F341" s="6" t="inlineStr">
        <is>
          <t>IMPUTADO</t>
        </is>
      </c>
      <c r="G341" s="4" t="n">
        <v>31.4</v>
      </c>
    </row>
    <row r="342">
      <c r="A342" s="6" t="inlineStr">
        <is>
          <t>24016 - PLAZA CIRCULAR</t>
        </is>
      </c>
      <c r="B342" s="6" t="inlineStr">
        <is>
          <t>105-0004-333399</t>
        </is>
      </c>
      <c r="C342" s="6" t="inlineStr">
        <is>
          <t>22/04/2026</t>
        </is>
      </c>
      <c r="D342" s="6" t="inlineStr">
        <is>
          <t>MATERIAL</t>
        </is>
      </c>
      <c r="E342" s="6" t="inlineStr">
        <is>
          <t>LEROY MERLIN ESPAÑA SL</t>
        </is>
      </c>
      <c r="F342" s="6" t="inlineStr">
        <is>
          <t>IMPUTADO</t>
        </is>
      </c>
      <c r="G342" s="4" t="n">
        <v>29.24</v>
      </c>
    </row>
    <row r="343">
      <c r="A343" s="6" t="inlineStr">
        <is>
          <t>24016 - PLAZA CIRCULAR</t>
        </is>
      </c>
      <c r="B343" s="6" t="inlineStr">
        <is>
          <t>2107</t>
        </is>
      </c>
      <c r="C343" s="6" t="inlineStr">
        <is>
          <t>08/05/2026</t>
        </is>
      </c>
      <c r="D343" s="6" t="inlineStr">
        <is>
          <t>PINTURA</t>
        </is>
      </c>
      <c r="E343" s="6" t="inlineStr">
        <is>
          <t>DECOBRIC SANZ SL</t>
        </is>
      </c>
      <c r="F343" s="6" t="inlineStr">
        <is>
          <t>IMPUTADO</t>
        </is>
      </c>
      <c r="G343" s="4" t="n">
        <v>28.3</v>
      </c>
    </row>
    <row r="344">
      <c r="A344" s="6" t="inlineStr">
        <is>
          <t>24016 - PLAZA CIRCULAR</t>
        </is>
      </c>
      <c r="B344" s="6" t="inlineStr">
        <is>
          <t>026-0006-513994</t>
        </is>
      </c>
      <c r="C344" s="6" t="inlineStr">
        <is>
          <t>01/06/2026</t>
        </is>
      </c>
      <c r="D344" s="6" t="inlineStr">
        <is>
          <t>PLADUR</t>
        </is>
      </c>
      <c r="E344" s="6" t="inlineStr">
        <is>
          <t>BRICOLAJE BRICOMAN SLU</t>
        </is>
      </c>
      <c r="F344" s="6" t="inlineStr">
        <is>
          <t>IMPUTADO</t>
        </is>
      </c>
      <c r="G344" s="4" t="n">
        <v>27.67</v>
      </c>
    </row>
    <row r="345">
      <c r="A345" s="6" t="inlineStr">
        <is>
          <t>24016 - PLAZA CIRCULAR</t>
        </is>
      </c>
      <c r="B345" s="6" t="inlineStr">
        <is>
          <t>26/3340</t>
        </is>
      </c>
      <c r="C345" s="6" t="inlineStr">
        <is>
          <t>31/08/2026</t>
        </is>
      </c>
      <c r="D345" s="6" t="inlineStr">
        <is>
          <t>MUESTRAS PINTURA</t>
        </is>
      </c>
      <c r="E345" s="6" t="inlineStr">
        <is>
          <t>SANZ BUILDING 2000 SL</t>
        </is>
      </c>
      <c r="F345" s="6" t="inlineStr">
        <is>
          <t>IMPUTADO</t>
        </is>
      </c>
      <c r="G345" s="4" t="n">
        <v>26.35</v>
      </c>
    </row>
    <row r="346">
      <c r="A346" s="6" t="inlineStr">
        <is>
          <t>24016 - PLAZA CIRCULAR</t>
        </is>
      </c>
      <c r="B346" s="6" t="inlineStr">
        <is>
          <t>105-0005-335619</t>
        </is>
      </c>
      <c r="C346" s="6" t="inlineStr">
        <is>
          <t>07/05/2026</t>
        </is>
      </c>
      <c r="D346" s="6" t="inlineStr">
        <is>
          <t>PLADUR</t>
        </is>
      </c>
      <c r="E346" s="6" t="inlineStr">
        <is>
          <t>LEROY MERLIN ESPAÑA SL</t>
        </is>
      </c>
      <c r="F346" s="6" t="inlineStr">
        <is>
          <t>IMPUTADO</t>
        </is>
      </c>
      <c r="G346" s="4" t="n">
        <v>21.74</v>
      </c>
    </row>
    <row r="347">
      <c r="A347" s="6" t="inlineStr">
        <is>
          <t>24016 - PLAZA CIRCULAR</t>
        </is>
      </c>
      <c r="B347" s="6" t="inlineStr">
        <is>
          <t>FV26-023818</t>
        </is>
      </c>
      <c r="C347" s="6" t="inlineStr">
        <is>
          <t>17/09/2026</t>
        </is>
      </c>
      <c r="D347" s="6" t="inlineStr">
        <is>
          <t>APLICADOR SILICONA/CINTA PINTOR</t>
        </is>
      </c>
      <c r="E347" s="6" t="inlineStr">
        <is>
          <t>HIJOS DE JOSE BUSQUIER SL</t>
        </is>
      </c>
      <c r="F347" s="6" t="inlineStr">
        <is>
          <t>SIN IMPUTAR</t>
        </is>
      </c>
      <c r="G347" s="4" t="n">
        <v>20</v>
      </c>
    </row>
    <row r="348">
      <c r="A348" s="6" t="inlineStr">
        <is>
          <t>24016 - PLAZA CIRCULAR</t>
        </is>
      </c>
      <c r="B348" s="6" t="inlineStr">
        <is>
          <t>026-0004-479639</t>
        </is>
      </c>
      <c r="C348" s="6" t="inlineStr">
        <is>
          <t>20/04/2026</t>
        </is>
      </c>
      <c r="D348" s="6" t="inlineStr">
        <is>
          <t>TORNILLO AUTOROSCA</t>
        </is>
      </c>
      <c r="E348" s="6" t="inlineStr">
        <is>
          <t>BRICOLAJE BRICOMAN SLU</t>
        </is>
      </c>
      <c r="F348" s="6" t="inlineStr">
        <is>
          <t>IMPUTADO</t>
        </is>
      </c>
      <c r="G348" s="4" t="n">
        <v>16.5</v>
      </c>
    </row>
    <row r="349">
      <c r="A349" s="6" t="inlineStr">
        <is>
          <t>24016 - PLAZA CIRCULAR</t>
        </is>
      </c>
      <c r="B349" s="6" t="inlineStr">
        <is>
          <t>FSIM 1 2026/018395</t>
        </is>
      </c>
      <c r="C349" s="6" t="inlineStr">
        <is>
          <t>03/09/2026</t>
        </is>
      </c>
      <c r="D349" s="6" t="inlineStr">
        <is>
          <t>CINTA PINTOR</t>
        </is>
      </c>
      <c r="E349" s="6" t="inlineStr">
        <is>
          <t>FERRETERIA-VISTA ALEGRE SL</t>
        </is>
      </c>
      <c r="F349" s="6" t="inlineStr">
        <is>
          <t>IMPUTADO</t>
        </is>
      </c>
      <c r="G349" s="4" t="n">
        <v>10.58</v>
      </c>
    </row>
    <row r="350">
      <c r="A350" s="6" t="inlineStr">
        <is>
          <t>24016 - PLAZA CIRCULAR</t>
        </is>
      </c>
      <c r="B350" s="6" t="inlineStr">
        <is>
          <t>026-0005-503323</t>
        </is>
      </c>
      <c r="C350" s="6" t="inlineStr">
        <is>
          <t>19/05/2026</t>
        </is>
      </c>
      <c r="D350" s="6" t="inlineStr">
        <is>
          <t>PLADUR Y AYUDAS</t>
        </is>
      </c>
      <c r="E350" s="6" t="inlineStr">
        <is>
          <t>BRICOLAJE BRICOMAN SLU</t>
        </is>
      </c>
      <c r="F350" s="6" t="inlineStr">
        <is>
          <t>IMPUTADO</t>
        </is>
      </c>
      <c r="G350" s="4" t="n">
        <v>9.66</v>
      </c>
    </row>
    <row r="351">
      <c r="A351" s="6" t="inlineStr">
        <is>
          <t>24016 - PLAZA CIRCULAR</t>
        </is>
      </c>
      <c r="B351" s="6" t="inlineStr">
        <is>
          <t>105-0004-334321</t>
        </is>
      </c>
      <c r="C351" s="6" t="inlineStr">
        <is>
          <t>28/04/2026</t>
        </is>
      </c>
      <c r="D351" s="6" t="inlineStr">
        <is>
          <t>SACO ARENA</t>
        </is>
      </c>
      <c r="E351" s="6" t="inlineStr">
        <is>
          <t>LEROY MERLIN ESPAÑA SL</t>
        </is>
      </c>
      <c r="F351" s="6" t="inlineStr">
        <is>
          <t>IMPUTADO</t>
        </is>
      </c>
      <c r="G351" s="4" t="n">
        <v>8.83</v>
      </c>
    </row>
    <row r="352">
      <c r="A352" s="6" t="inlineStr">
        <is>
          <t>24016 - PLAZA CIRCULAR</t>
        </is>
      </c>
      <c r="B352" s="6" t="inlineStr">
        <is>
          <t>7300286634</t>
        </is>
      </c>
      <c r="C352" s="6" t="inlineStr">
        <is>
          <t>20/05/2026</t>
        </is>
      </c>
      <c r="D352" s="6" t="inlineStr">
        <is>
          <t>PLADUR</t>
        </is>
      </c>
      <c r="E352" s="6" t="inlineStr">
        <is>
          <t>SAINT GOBAIN IDAPLAC SL</t>
        </is>
      </c>
      <c r="F352" s="6" t="inlineStr">
        <is>
          <t>IMPUTADO</t>
        </is>
      </c>
      <c r="G352" s="4" t="n">
        <v>8.19</v>
      </c>
    </row>
    <row r="353">
      <c r="A353" s="6" t="inlineStr">
        <is>
          <t>24016 - PLAZA CIRCULAR</t>
        </is>
      </c>
      <c r="B353" s="6" t="inlineStr">
        <is>
          <t>FSIM 1 2026/019338</t>
        </is>
      </c>
      <c r="C353" s="6" t="inlineStr">
        <is>
          <t>11/09/2026</t>
        </is>
      </c>
      <c r="D353" s="6" t="inlineStr">
        <is>
          <t>MANGO MADERA/BOLSA</t>
        </is>
      </c>
      <c r="E353" s="6" t="inlineStr">
        <is>
          <t>FERRETERIA-VISTA ALEGRE SL</t>
        </is>
      </c>
      <c r="F353" s="6" t="inlineStr">
        <is>
          <t>SIN IMPUTAR</t>
        </is>
      </c>
      <c r="G353" s="4" t="n">
        <v>8.18</v>
      </c>
    </row>
    <row r="354">
      <c r="A354" s="6" t="inlineStr">
        <is>
          <t>24016 - PLAZA CIRCULAR</t>
        </is>
      </c>
      <c r="B354" s="6" t="inlineStr">
        <is>
          <t>FSIM 1 2026/018503</t>
        </is>
      </c>
      <c r="C354" s="6" t="inlineStr">
        <is>
          <t>04/09/2026</t>
        </is>
      </c>
      <c r="D354" s="6" t="inlineStr">
        <is>
          <t>CUBO FREGONA/MOCHO</t>
        </is>
      </c>
      <c r="E354" s="6" t="inlineStr">
        <is>
          <t>FERRETERIA-VISTA ALEGRE SL</t>
        </is>
      </c>
      <c r="F354" s="6" t="inlineStr">
        <is>
          <t>IMPUTADO</t>
        </is>
      </c>
      <c r="G354" s="4" t="n">
        <v>7.81</v>
      </c>
    </row>
    <row r="355">
      <c r="A355" s="6" t="inlineStr">
        <is>
          <t>24017 - CEMENTERIO, MURCIA</t>
        </is>
      </c>
      <c r="B355" s="6" t="inlineStr">
        <is>
          <t>2026-48</t>
        </is>
      </c>
      <c r="C355" s="6" t="inlineStr">
        <is>
          <t>19/05/2026</t>
        </is>
      </c>
      <c r="D355" s="6" t="inlineStr">
        <is>
          <t>PUERTA ALUMINIO/FIJO ALUMNIO/INSTALACIÓN</t>
        </is>
      </c>
      <c r="E355" s="6" t="inlineStr">
        <is>
          <t>ALEJANDRO CUTILLAS CAÑABATE</t>
        </is>
      </c>
      <c r="F355" s="6" t="inlineStr">
        <is>
          <t>IMPUTADO</t>
        </is>
      </c>
      <c r="G355" s="4" t="n">
        <v>2797.7</v>
      </c>
    </row>
    <row r="356">
      <c r="A356" s="6" t="inlineStr">
        <is>
          <t>24017 - CEMENTERIO, MURCIA</t>
        </is>
      </c>
      <c r="B356" s="6" t="inlineStr">
        <is>
          <t>2026-17</t>
        </is>
      </c>
      <c r="C356" s="6" t="inlineStr">
        <is>
          <t>23/02/2026</t>
        </is>
      </c>
      <c r="D356" s="6" t="inlineStr">
        <is>
          <t>HIERRO PANTEON #ACERO</t>
        </is>
      </c>
      <c r="E356" s="6" t="inlineStr">
        <is>
          <t>ALEJANDRO CUTILLAS CAÑABATE</t>
        </is>
      </c>
      <c r="F356" s="6" t="inlineStr">
        <is>
          <t>IMPUTADO</t>
        </is>
      </c>
      <c r="G356" s="4" t="n">
        <v>1779.6</v>
      </c>
    </row>
    <row r="357">
      <c r="A357" s="6" t="inlineStr">
        <is>
          <t>24017 - CEMENTERIO, MURCIA</t>
        </is>
      </c>
      <c r="B357" s="6" t="inlineStr">
        <is>
          <t>2026-1</t>
        </is>
      </c>
      <c r="C357" s="6" t="inlineStr">
        <is>
          <t>09/01/2026</t>
        </is>
      </c>
      <c r="D357" s="6" t="inlineStr">
        <is>
          <t>RECERCADO DE PLETINA</t>
        </is>
      </c>
      <c r="E357" s="6" t="inlineStr">
        <is>
          <t>ALEJANDRO CUTILLAS CAÑABATE</t>
        </is>
      </c>
      <c r="F357" s="6" t="inlineStr">
        <is>
          <t>IMPUTADO</t>
        </is>
      </c>
      <c r="G357" s="4" t="n">
        <v>599.95</v>
      </c>
    </row>
    <row r="358">
      <c r="A358" s="6" t="inlineStr">
        <is>
          <t>24017 - CEMENTERIO, MURCIA</t>
        </is>
      </c>
      <c r="B358" s="6" t="inlineStr">
        <is>
          <t>G26.009</t>
        </is>
      </c>
      <c r="C358" s="6" t="inlineStr">
        <is>
          <t>31/01/2026</t>
        </is>
      </c>
      <c r="D358" s="6" t="inlineStr">
        <is>
          <t>GRUA</t>
        </is>
      </c>
      <c r="E358" s="6" t="inlineStr">
        <is>
          <t>GRUAS Y MAQUINARIA PETREL SL</t>
        </is>
      </c>
      <c r="F358" s="6" t="inlineStr">
        <is>
          <t>IMPUTADO</t>
        </is>
      </c>
      <c r="G358" s="4" t="n">
        <v>510</v>
      </c>
    </row>
    <row r="359">
      <c r="A359" s="6" t="inlineStr">
        <is>
          <t>24017 - CEMENTERIO, MURCIA</t>
        </is>
      </c>
      <c r="B359" s="6" t="inlineStr">
        <is>
          <t>26/181</t>
        </is>
      </c>
      <c r="C359" s="6" t="inlineStr">
        <is>
          <t>27/02/2026</t>
        </is>
      </c>
      <c r="D359" s="6" t="inlineStr">
        <is>
          <t>HIERRO CIMENTACION #Albañileria/cimentacion/patio</t>
        </is>
      </c>
      <c r="E359" s="6" t="inlineStr">
        <is>
          <t>FERRALLAS MONFORTE DEL CID SL.</t>
        </is>
      </c>
      <c r="F359" s="6" t="inlineStr">
        <is>
          <t>IMPUTADO</t>
        </is>
      </c>
      <c r="G359" s="4" t="n">
        <v>501.2</v>
      </c>
    </row>
    <row r="360">
      <c r="A360" s="6" t="inlineStr">
        <is>
          <t>24017 - CEMENTERIO, MURCIA</t>
        </is>
      </c>
      <c r="B360" s="6" t="inlineStr">
        <is>
          <t>G26.008</t>
        </is>
      </c>
      <c r="C360" s="6" t="inlineStr">
        <is>
          <t>31/01/2026</t>
        </is>
      </c>
      <c r="D360" s="6" t="inlineStr">
        <is>
          <t>GRUA</t>
        </is>
      </c>
      <c r="E360" s="6" t="inlineStr">
        <is>
          <t>GRUAS Y MAQUINARIA PETREL SL</t>
        </is>
      </c>
      <c r="F360" s="6" t="inlineStr">
        <is>
          <t>IMPUTADO</t>
        </is>
      </c>
      <c r="G360" s="4" t="n">
        <v>480</v>
      </c>
    </row>
    <row r="361">
      <c r="A361" s="6" t="inlineStr">
        <is>
          <t>24017 - CEMENTERIO, MURCIA</t>
        </is>
      </c>
      <c r="B361" s="6" t="inlineStr">
        <is>
          <t>G26.012</t>
        </is>
      </c>
      <c r="C361" s="6" t="inlineStr">
        <is>
          <t>16/02/2026</t>
        </is>
      </c>
      <c r="D361" s="6" t="inlineStr">
        <is>
          <t>GRUA #Maquinaria</t>
        </is>
      </c>
      <c r="E361" s="6" t="inlineStr">
        <is>
          <t>GRUAS Y MAQUINARIA PETREL SL</t>
        </is>
      </c>
      <c r="F361" s="6" t="inlineStr">
        <is>
          <t>IMPUTADO</t>
        </is>
      </c>
      <c r="G361" s="4" t="n">
        <v>450</v>
      </c>
    </row>
    <row r="362">
      <c r="A362" s="6" t="inlineStr">
        <is>
          <t>24017 - CEMENTERIO, MURCIA</t>
        </is>
      </c>
      <c r="B362" s="6" t="inlineStr">
        <is>
          <t>026-0002-423838</t>
        </is>
      </c>
      <c r="C362" s="6" t="inlineStr">
        <is>
          <t>09/02/2026</t>
        </is>
      </c>
      <c r="D362" s="6" t="inlineStr">
        <is>
          <t>GRAVA / CEMENTO / G50 SMART FLEX #ALBAÑILERIA  - MATERIAL</t>
        </is>
      </c>
      <c r="E362" s="6" t="inlineStr">
        <is>
          <t>BRICOLAJE BRICOMAN SLU</t>
        </is>
      </c>
      <c r="F362" s="6" t="inlineStr">
        <is>
          <t>IMPUTADO</t>
        </is>
      </c>
      <c r="G362" s="4" t="n">
        <v>150.35</v>
      </c>
    </row>
    <row r="363">
      <c r="A363" s="6" t="inlineStr">
        <is>
          <t>24017 - CEMENTERIO, MURCIA</t>
        </is>
      </c>
      <c r="B363" s="6" t="inlineStr">
        <is>
          <t>202600569</t>
        </is>
      </c>
      <c r="C363" s="6" t="inlineStr">
        <is>
          <t>18/02/2026</t>
        </is>
      </c>
      <c r="D363" s="6" t="inlineStr">
        <is>
          <t>MATERIAL OBRA #Albañileria/Material</t>
        </is>
      </c>
      <c r="E363" s="6" t="inlineStr">
        <is>
          <t>IBIMAT IBI SL</t>
        </is>
      </c>
      <c r="F363" s="6" t="inlineStr">
        <is>
          <t>IMPUTADO</t>
        </is>
      </c>
      <c r="G363" s="4" t="n">
        <v>88.59</v>
      </c>
    </row>
    <row r="364">
      <c r="A364" s="6" t="inlineStr">
        <is>
          <t>24017 - CEMENTERIO, MURCIA</t>
        </is>
      </c>
      <c r="B364" s="6" t="inlineStr">
        <is>
          <t>062-0003-151703</t>
        </is>
      </c>
      <c r="C364" s="6" t="inlineStr">
        <is>
          <t>09/03/2026</t>
        </is>
      </c>
      <c r="D364" s="6" t="inlineStr">
        <is>
          <t>SUELO PVC PANTEÓN</t>
        </is>
      </c>
      <c r="E364" s="6" t="inlineStr">
        <is>
          <t>LEROY MERLIN ESPAÑA SL</t>
        </is>
      </c>
      <c r="F364" s="6" t="inlineStr">
        <is>
          <t>IMPUTADO</t>
        </is>
      </c>
      <c r="G364" s="4" t="n">
        <v>63.7</v>
      </c>
    </row>
    <row r="365">
      <c r="A365" s="6" t="inlineStr">
        <is>
          <t>24017 - CEMENTERIO, MURCIA</t>
        </is>
      </c>
      <c r="B365" s="6" t="inlineStr">
        <is>
          <t>026-0002-423880</t>
        </is>
      </c>
      <c r="C365" s="6" t="inlineStr">
        <is>
          <t>09/02/2026</t>
        </is>
      </c>
      <c r="D365" s="6" t="inlineStr">
        <is>
          <t>TUBO PVC DESAGÜES #ALBAÑILERIA -  MATERIAL</t>
        </is>
      </c>
      <c r="E365" s="6" t="inlineStr">
        <is>
          <t>BRICOLAJE BRICOMAN SLU</t>
        </is>
      </c>
      <c r="F365" s="6" t="inlineStr">
        <is>
          <t>IMPUTADO</t>
        </is>
      </c>
      <c r="G365" s="4" t="n">
        <v>44.5</v>
      </c>
    </row>
    <row r="366">
      <c r="A366" s="6" t="inlineStr">
        <is>
          <t>24017 - CEMENTERIO, MURCIA</t>
        </is>
      </c>
      <c r="B366" s="6" t="inlineStr">
        <is>
          <t>062-0007-213115</t>
        </is>
      </c>
      <c r="C366" s="6" t="inlineStr">
        <is>
          <t>06/07/2026</t>
        </is>
      </c>
      <c r="D366" s="6" t="inlineStr">
        <is>
          <t>PINTURA PANTEON</t>
        </is>
      </c>
      <c r="E366" s="6" t="inlineStr">
        <is>
          <t>LEROY MERLIN ESPAÑA SL</t>
        </is>
      </c>
      <c r="F366" s="6" t="inlineStr">
        <is>
          <t>IMPUTADO</t>
        </is>
      </c>
      <c r="G366" s="4" t="n">
        <v>40.36</v>
      </c>
    </row>
    <row r="367">
      <c r="A367" s="6" t="inlineStr">
        <is>
          <t>24017 - CEMENTERIO, MURCIA</t>
        </is>
      </c>
      <c r="B367" s="6" t="inlineStr">
        <is>
          <t>2026/D-1351</t>
        </is>
      </c>
      <c r="C367" s="6" t="inlineStr">
        <is>
          <t>25/06/2026</t>
        </is>
      </c>
      <c r="D367" s="6" t="inlineStr">
        <is>
          <t>ESMALTE Y CUBETA</t>
        </is>
      </c>
      <c r="E367" s="6" t="inlineStr">
        <is>
          <t>PINTURAS IDELLA SL.</t>
        </is>
      </c>
      <c r="F367" s="6" t="inlineStr">
        <is>
          <t>IMPUTADO</t>
        </is>
      </c>
      <c r="G367" s="4" t="n">
        <v>35.05</v>
      </c>
    </row>
    <row r="368">
      <c r="A368" s="6" t="inlineStr">
        <is>
          <t>24017 - CEMENTERIO, MURCIA</t>
        </is>
      </c>
      <c r="B368" s="6" t="inlineStr">
        <is>
          <t>041-0003-958136</t>
        </is>
      </c>
      <c r="C368" s="6" t="inlineStr">
        <is>
          <t>09/03/2026</t>
        </is>
      </c>
      <c r="D368" s="6" t="inlineStr">
        <is>
          <t>SUELO PVC PANTEON</t>
        </is>
      </c>
      <c r="E368" s="6" t="inlineStr">
        <is>
          <t>LEROY MERLIN ESPAÑA SL</t>
        </is>
      </c>
      <c r="F368" s="6" t="inlineStr">
        <is>
          <t>IMPUTADO</t>
        </is>
      </c>
      <c r="G368" s="4" t="n">
        <v>19.65</v>
      </c>
    </row>
    <row r="369">
      <c r="A369" s="6" t="inlineStr">
        <is>
          <t>24017 - CEMENTERIO, MURCIA</t>
        </is>
      </c>
      <c r="B369" s="6" t="inlineStr">
        <is>
          <t>041-0007-987322</t>
        </is>
      </c>
      <c r="C369" s="6" t="inlineStr">
        <is>
          <t>06/07/2026</t>
        </is>
      </c>
      <c r="D369" s="6" t="inlineStr">
        <is>
          <t>MASILLA PANTEON</t>
        </is>
      </c>
      <c r="E369" s="6" t="inlineStr">
        <is>
          <t>LEROY MERLIN ESPAÑA SL</t>
        </is>
      </c>
      <c r="F369" s="6" t="inlineStr">
        <is>
          <t>IMPUTADO</t>
        </is>
      </c>
      <c r="G369" s="4" t="n">
        <v>14.3</v>
      </c>
    </row>
    <row r="370">
      <c r="A370" s="6" t="inlineStr">
        <is>
          <t>24017 - CEMENTERIO, MURCIA</t>
        </is>
      </c>
      <c r="B370" s="6" t="inlineStr">
        <is>
          <t>6/201063526</t>
        </is>
      </c>
      <c r="C370" s="6" t="inlineStr">
        <is>
          <t>12/02/2026</t>
        </is>
      </c>
      <c r="D370" s="6" t="inlineStr">
        <is>
          <t>GASOLINA</t>
        </is>
      </c>
      <c r="E370" s="6" t="inlineStr">
        <is>
          <t>ESTACION OMEGA ESPINARDO SL</t>
        </is>
      </c>
      <c r="F370" s="6" t="inlineStr">
        <is>
          <t>IMPUTADO</t>
        </is>
      </c>
      <c r="G370" s="4" t="n">
        <v>10.75</v>
      </c>
    </row>
    <row r="371">
      <c r="A371" s="6" t="inlineStr">
        <is>
          <t>24018 - OBRA LUC2</t>
        </is>
      </c>
      <c r="B371" s="6" t="inlineStr">
        <is>
          <t>26/186</t>
        </is>
      </c>
      <c r="C371" s="6" t="inlineStr">
        <is>
          <t>06/03/2026</t>
        </is>
      </c>
      <c r="D371" s="6" t="inlineStr">
        <is>
          <t>HIERRO CIMENTACIÓN Y FORJADO</t>
        </is>
      </c>
      <c r="E371" s="6" t="inlineStr">
        <is>
          <t>FERRALLAS MONFORTE DEL CID SL.</t>
        </is>
      </c>
      <c r="F371" s="6" t="inlineStr">
        <is>
          <t>IMPUTADO</t>
        </is>
      </c>
      <c r="G371" s="4" t="n">
        <v>4086.16</v>
      </c>
    </row>
    <row r="372">
      <c r="A372" s="6" t="inlineStr">
        <is>
          <t>24018 - OBRA LUC2</t>
        </is>
      </c>
      <c r="B372" s="6" t="inlineStr">
        <is>
          <t>V/71</t>
        </is>
      </c>
      <c r="C372" s="6" t="inlineStr">
        <is>
          <t>20/02/2026</t>
        </is>
      </c>
      <c r="D372" s="6" t="inlineStr">
        <is>
          <t>EXCAVACIÓN CIMENTACIÓN</t>
        </is>
      </c>
      <c r="E372" s="6" t="inlineStr">
        <is>
          <t>TREXGRUCO SL.</t>
        </is>
      </c>
      <c r="F372" s="6" t="inlineStr">
        <is>
          <t>IMPUTADO</t>
        </is>
      </c>
      <c r="G372" s="4" t="n">
        <v>3947.76</v>
      </c>
    </row>
    <row r="373">
      <c r="A373" s="6" t="inlineStr">
        <is>
          <t>24018 - OBRA LUC2</t>
        </is>
      </c>
      <c r="B373" s="6" t="inlineStr">
        <is>
          <t>614823</t>
        </is>
      </c>
      <c r="C373" s="6" t="inlineStr">
        <is>
          <t>07/04/2026</t>
        </is>
      </c>
      <c r="D373" s="6" t="inlineStr">
        <is>
          <t>Presupuesto nº 614823</t>
        </is>
      </c>
      <c r="E373" s="6" t="inlineStr">
        <is>
          <t>LEROY MERLIN ESPAÑA SL</t>
        </is>
      </c>
      <c r="F373" s="6" t="inlineStr">
        <is>
          <t>IMPUTADO</t>
        </is>
      </c>
      <c r="G373" s="4" t="n">
        <v>2780.18</v>
      </c>
    </row>
    <row r="374">
      <c r="A374" s="6" t="inlineStr">
        <is>
          <t>24018 - OBRA LUC2</t>
        </is>
      </c>
      <c r="B374" s="6" t="inlineStr">
        <is>
          <t>062-0003-149290</t>
        </is>
      </c>
      <c r="C374" s="6" t="inlineStr">
        <is>
          <t>04/03/2026</t>
        </is>
      </c>
      <c r="D374" s="6" t="inlineStr">
        <is>
          <t>MATERIAL OBRA</t>
        </is>
      </c>
      <c r="E374" s="6" t="inlineStr">
        <is>
          <t>LEROY MERLIN ESPAÑA SL</t>
        </is>
      </c>
      <c r="F374" s="6" t="inlineStr">
        <is>
          <t>IMPUTADO</t>
        </is>
      </c>
      <c r="G374" s="4" t="n">
        <v>2693.07</v>
      </c>
    </row>
    <row r="375">
      <c r="A375" s="6" t="inlineStr">
        <is>
          <t>24018 - OBRA LUC2</t>
        </is>
      </c>
      <c r="B375" s="6" t="inlineStr">
        <is>
          <t>062-0003-155752</t>
        </is>
      </c>
      <c r="C375" s="6" t="inlineStr">
        <is>
          <t>17/03/2026</t>
        </is>
      </c>
      <c r="D375" s="6" t="inlineStr">
        <is>
          <t>MATERIAL OBRA</t>
        </is>
      </c>
      <c r="E375" s="6" t="inlineStr">
        <is>
          <t>LEROY MERLIN ESPAÑA SL</t>
        </is>
      </c>
      <c r="F375" s="6" t="inlineStr">
        <is>
          <t>IMPUTADO</t>
        </is>
      </c>
      <c r="G375" s="4" t="n">
        <v>2656.74</v>
      </c>
    </row>
    <row r="376">
      <c r="A376" s="6" t="inlineStr">
        <is>
          <t>24018 - OBRA LUC2</t>
        </is>
      </c>
      <c r="B376" s="6" t="inlineStr">
        <is>
          <t>L00165</t>
        </is>
      </c>
      <c r="C376" s="6" t="inlineStr">
        <is>
          <t>30/04/2026</t>
        </is>
      </c>
      <c r="D376" s="6" t="inlineStr">
        <is>
          <t>HORMIGON</t>
        </is>
      </c>
      <c r="E376" s="6" t="inlineStr">
        <is>
          <t>CANTERAS Y RECICLADOS SL.</t>
        </is>
      </c>
      <c r="F376" s="6" t="inlineStr">
        <is>
          <t>IMPUTADO</t>
        </is>
      </c>
      <c r="G376" s="4" t="n">
        <v>2595</v>
      </c>
    </row>
    <row r="377">
      <c r="A377" s="6" t="inlineStr">
        <is>
          <t>24018 - OBRA LUC2</t>
        </is>
      </c>
      <c r="B377" s="6" t="inlineStr">
        <is>
          <t>616670</t>
        </is>
      </c>
      <c r="C377" s="6" t="inlineStr">
        <is>
          <t>17/04/2026</t>
        </is>
      </c>
      <c r="D377" s="6" t="inlineStr">
        <is>
          <t>PRESUPUESTO 616670</t>
        </is>
      </c>
      <c r="E377" s="6" t="inlineStr">
        <is>
          <t>LEROY MERLIN ESPAÑA SL</t>
        </is>
      </c>
      <c r="F377" s="6" t="inlineStr">
        <is>
          <t>IMPUTADO</t>
        </is>
      </c>
      <c r="G377" s="4" t="n">
        <v>2499.9</v>
      </c>
    </row>
    <row r="378">
      <c r="A378" s="6" t="inlineStr">
        <is>
          <t>24018 - OBRA LUC2</t>
        </is>
      </c>
      <c r="B378" s="6" t="inlineStr">
        <is>
          <t>FH2600346</t>
        </is>
      </c>
      <c r="C378" s="6" t="inlineStr">
        <is>
          <t>31/03/2026</t>
        </is>
      </c>
      <c r="D378" s="6" t="inlineStr">
        <is>
          <t>HORMIGON LLENADO MUROS</t>
        </is>
      </c>
      <c r="E378" s="6" t="inlineStr">
        <is>
          <t>ARIDOS Y HORMIGONES CUTILLAS S.L.</t>
        </is>
      </c>
      <c r="F378" s="6" t="inlineStr">
        <is>
          <t>IMPUTADO</t>
        </is>
      </c>
      <c r="G378" s="4" t="n">
        <v>2256</v>
      </c>
    </row>
    <row r="379">
      <c r="A379" s="6" t="inlineStr">
        <is>
          <t>24018 - OBRA LUC2</t>
        </is>
      </c>
      <c r="B379" s="6" t="inlineStr">
        <is>
          <t>FH 2600235</t>
        </is>
      </c>
      <c r="C379" s="6" t="inlineStr">
        <is>
          <t>15/03/2026</t>
        </is>
      </c>
      <c r="D379" s="6" t="inlineStr">
        <is>
          <t>HORMIGÓN CIMENTACIÓN</t>
        </is>
      </c>
      <c r="E379" s="6" t="inlineStr">
        <is>
          <t>ARIDOS Y HORMIGONES CUTILLAS S.L.</t>
        </is>
      </c>
      <c r="F379" s="6" t="inlineStr">
        <is>
          <t>IMPUTADO</t>
        </is>
      </c>
      <c r="G379" s="4" t="n">
        <v>1710</v>
      </c>
    </row>
    <row r="380">
      <c r="A380" s="6" t="inlineStr">
        <is>
          <t>24018 - OBRA LUC2</t>
        </is>
      </c>
      <c r="B380" s="6" t="inlineStr">
        <is>
          <t>V/86</t>
        </is>
      </c>
      <c r="C380" s="6" t="inlineStr">
        <is>
          <t>28/02/2026</t>
        </is>
      </c>
      <c r="D380" s="6" t="inlineStr">
        <is>
          <t>EXCAVACIÓN CIMENTACION</t>
        </is>
      </c>
      <c r="E380" s="6" t="inlineStr">
        <is>
          <t>TREXGRUCO SL.</t>
        </is>
      </c>
      <c r="F380" s="6" t="inlineStr">
        <is>
          <t>IMPUTADO</t>
        </is>
      </c>
      <c r="G380" s="4" t="n">
        <v>1624</v>
      </c>
    </row>
    <row r="381">
      <c r="A381" s="6" t="inlineStr">
        <is>
          <t>24018 - OBRA LUC2</t>
        </is>
      </c>
      <c r="B381" s="6" t="inlineStr">
        <is>
          <t>FH2600348</t>
        </is>
      </c>
      <c r="C381" s="6" t="inlineStr">
        <is>
          <t>15/04/2026</t>
        </is>
      </c>
      <c r="D381" s="6" t="inlineStr">
        <is>
          <t>LLENADO FORJADO #llenado forjado sotano</t>
        </is>
      </c>
      <c r="E381" s="6" t="inlineStr">
        <is>
          <t>ARIDOS Y HORMIGONES CUTILLAS S.L.</t>
        </is>
      </c>
      <c r="F381" s="6" t="inlineStr">
        <is>
          <t>IMPUTADO</t>
        </is>
      </c>
      <c r="G381" s="4" t="n">
        <v>1620</v>
      </c>
    </row>
    <row r="382">
      <c r="A382" s="6" t="inlineStr">
        <is>
          <t>24018 - OBRA LUC2</t>
        </is>
      </c>
      <c r="B382" s="6" t="inlineStr">
        <is>
          <t>G26.049</t>
        </is>
      </c>
      <c r="C382" s="6" t="inlineStr">
        <is>
          <t>30/04/2026</t>
        </is>
      </c>
      <c r="D382" s="6" t="inlineStr">
        <is>
          <t>GRUA</t>
        </is>
      </c>
      <c r="E382" s="6" t="inlineStr">
        <is>
          <t>GRUAS Y MAQUINARIA PETREL SL</t>
        </is>
      </c>
      <c r="F382" s="6" t="inlineStr">
        <is>
          <t>IMPUTADO</t>
        </is>
      </c>
      <c r="G382" s="4" t="n">
        <v>1560</v>
      </c>
    </row>
    <row r="383">
      <c r="A383" s="6" t="inlineStr">
        <is>
          <t>24018 - OBRA LUC2</t>
        </is>
      </c>
      <c r="B383" s="6" t="inlineStr">
        <is>
          <t>G26.028</t>
        </is>
      </c>
      <c r="C383" s="6" t="inlineStr">
        <is>
          <t>18/03/2026</t>
        </is>
      </c>
      <c r="D383" s="6" t="inlineStr">
        <is>
          <t>GRUA #montar ferralla y repartir</t>
        </is>
      </c>
      <c r="E383" s="6" t="inlineStr">
        <is>
          <t>GRUAS Y MAQUINARIA PETREL SL</t>
        </is>
      </c>
      <c r="F383" s="6" t="inlineStr">
        <is>
          <t>IMPUTADO</t>
        </is>
      </c>
      <c r="G383" s="4" t="n">
        <v>1470</v>
      </c>
    </row>
    <row r="384">
      <c r="A384" s="6" t="inlineStr">
        <is>
          <t>24018 - OBRA LUC2</t>
        </is>
      </c>
      <c r="B384" s="6" t="inlineStr">
        <is>
          <t>2/00641</t>
        </is>
      </c>
      <c r="C384" s="6" t="inlineStr">
        <is>
          <t>28/02/2026</t>
        </is>
      </c>
      <c r="D384" s="6" t="inlineStr">
        <is>
          <t>ALQUILER DUMPER CIMENTACION</t>
        </is>
      </c>
      <c r="E384" s="6" t="inlineStr">
        <is>
          <t>CHOOSEMAK SOCIEDAD DE RESPONSABILIDAD LIMITADA</t>
        </is>
      </c>
      <c r="F384" s="6" t="inlineStr">
        <is>
          <t>IMPUTADO</t>
        </is>
      </c>
      <c r="G384" s="4" t="n">
        <v>1254.74</v>
      </c>
    </row>
    <row r="385">
      <c r="A385" s="6" t="inlineStr">
        <is>
          <t>24018 - OBRA LUC2</t>
        </is>
      </c>
      <c r="B385" s="6" t="inlineStr">
        <is>
          <t>A/260799</t>
        </is>
      </c>
      <c r="C385" s="6" t="inlineStr">
        <is>
          <t>07/04/2026</t>
        </is>
      </c>
      <c r="D385" s="6" t="inlineStr">
        <is>
          <t>GRUA #grua</t>
        </is>
      </c>
      <c r="E385" s="6" t="inlineStr">
        <is>
          <t>GRUAS Y TRANSPORTES ESPECIALES EL ALICANTI SL.</t>
        </is>
      </c>
      <c r="F385" s="6" t="inlineStr">
        <is>
          <t>IMPUTADO</t>
        </is>
      </c>
      <c r="G385" s="4" t="n">
        <v>1170</v>
      </c>
    </row>
    <row r="386">
      <c r="A386" s="6" t="inlineStr">
        <is>
          <t>24018 - OBRA LUC2</t>
        </is>
      </c>
      <c r="B386" s="6" t="inlineStr">
        <is>
          <t>3508/2026</t>
        </is>
      </c>
      <c r="C386" s="6" t="inlineStr">
        <is>
          <t>06/04/2026</t>
        </is>
      </c>
      <c r="D386" s="6" t="inlineStr">
        <is>
          <t>BOMBA LORENZO</t>
        </is>
      </c>
      <c r="E386" s="6" t="inlineStr">
        <is>
          <t>LORENZO ROMERO MORALEDA</t>
        </is>
      </c>
      <c r="F386" s="6" t="inlineStr">
        <is>
          <t>IMPUTADO</t>
        </is>
      </c>
      <c r="G386" s="4" t="n">
        <v>1000</v>
      </c>
    </row>
    <row r="387">
      <c r="A387" s="6" t="inlineStr">
        <is>
          <t>24018 - OBRA LUC2</t>
        </is>
      </c>
      <c r="B387" s="6" t="inlineStr">
        <is>
          <t>3549/2026</t>
        </is>
      </c>
      <c r="C387" s="6" t="inlineStr">
        <is>
          <t>30/06/2026</t>
        </is>
      </c>
      <c r="D387" s="6" t="inlineStr">
        <is>
          <t>BOMBA HORMIGON</t>
        </is>
      </c>
      <c r="E387" s="6" t="inlineStr">
        <is>
          <t>LORENZO ROMERO MORALEDA</t>
        </is>
      </c>
      <c r="F387" s="6" t="inlineStr">
        <is>
          <t>IMPUTADO</t>
        </is>
      </c>
      <c r="G387" s="4" t="n">
        <v>950</v>
      </c>
    </row>
    <row r="388">
      <c r="A388" s="6" t="inlineStr">
        <is>
          <t>24018 - OBRA LUC2</t>
        </is>
      </c>
      <c r="B388" s="6" t="inlineStr">
        <is>
          <t>613788</t>
        </is>
      </c>
      <c r="C388" s="6" t="inlineStr">
        <is>
          <t>31/03/2026</t>
        </is>
      </c>
      <c r="D388" s="6" t="inlineStr">
        <is>
          <t>PRESUPUESTO Nº 613788</t>
        </is>
      </c>
      <c r="E388" s="6" t="inlineStr">
        <is>
          <t>LEROY MERLIN ESPAÑA SL</t>
        </is>
      </c>
      <c r="F388" s="6" t="inlineStr">
        <is>
          <t>IMPUTADO</t>
        </is>
      </c>
      <c r="G388" s="4" t="n">
        <v>911.61</v>
      </c>
    </row>
    <row r="389">
      <c r="A389" s="6" t="inlineStr">
        <is>
          <t>24018 - OBRA LUC2</t>
        </is>
      </c>
      <c r="B389" s="6" t="inlineStr">
        <is>
          <t>MMC-001/26</t>
        </is>
      </c>
      <c r="C389" s="6" t="inlineStr">
        <is>
          <t>19/02/2026</t>
        </is>
      </c>
      <c r="D389" s="6" t="inlineStr">
        <is>
          <t>VIAJES ESCOMBRO PINOSO-BARINAS</t>
        </is>
      </c>
      <c r="E389" s="6" t="inlineStr">
        <is>
          <t>TRASERCO COOP VALENCIANA</t>
        </is>
      </c>
      <c r="F389" s="6" t="inlineStr">
        <is>
          <t>IMPUTADO</t>
        </is>
      </c>
      <c r="G389" s="4" t="n">
        <v>900</v>
      </c>
    </row>
    <row r="390">
      <c r="A390" s="6" t="inlineStr">
        <is>
          <t>24018 - OBRA LUC2</t>
        </is>
      </c>
      <c r="B390" s="6" t="inlineStr">
        <is>
          <t>A/996</t>
        </is>
      </c>
      <c r="C390" s="6" t="inlineStr">
        <is>
          <t>30/04/2026</t>
        </is>
      </c>
      <c r="D390" s="6" t="inlineStr">
        <is>
          <t>MATERIAL Y FONTANERIA</t>
        </is>
      </c>
      <c r="E390" s="6" t="inlineStr">
        <is>
          <t>MATERIALES DE CONSTRUCCION LOS CAPITOS SL.</t>
        </is>
      </c>
      <c r="F390" s="6" t="inlineStr">
        <is>
          <t>IMPUTADO</t>
        </is>
      </c>
      <c r="G390" s="4" t="n">
        <v>827.84</v>
      </c>
    </row>
    <row r="391">
      <c r="A391" s="6" t="inlineStr">
        <is>
          <t>24018 - OBRA LUC2</t>
        </is>
      </c>
      <c r="B391" s="6" t="inlineStr">
        <is>
          <t>3496/2026</t>
        </is>
      </c>
      <c r="C391" s="6" t="inlineStr">
        <is>
          <t>01/04/2026</t>
        </is>
      </c>
      <c r="D391" s="6" t="inlineStr">
        <is>
          <t>BOMBA LORNZO</t>
        </is>
      </c>
      <c r="E391" s="6" t="inlineStr">
        <is>
          <t>LORENZO ROMERO MORALEDA</t>
        </is>
      </c>
      <c r="F391" s="6" t="inlineStr">
        <is>
          <t>IMPUTADO</t>
        </is>
      </c>
      <c r="G391" s="4" t="n">
        <v>790</v>
      </c>
    </row>
    <row r="392">
      <c r="A392" s="6" t="inlineStr">
        <is>
          <t>24018 - OBRA LUC2</t>
        </is>
      </c>
      <c r="B392" s="6" t="inlineStr">
        <is>
          <t>26/330</t>
        </is>
      </c>
      <c r="C392" s="6" t="inlineStr">
        <is>
          <t>24/04/2026</t>
        </is>
      </c>
      <c r="D392" s="6" t="inlineStr">
        <is>
          <t>KG ACERO FERRALLADO</t>
        </is>
      </c>
      <c r="E392" s="6" t="inlineStr">
        <is>
          <t>FERRALLAS MONFORTE DEL CID SL.</t>
        </is>
      </c>
      <c r="F392" s="6" t="inlineStr">
        <is>
          <t>IMPUTADO</t>
        </is>
      </c>
      <c r="G392" s="4" t="n">
        <v>788.5</v>
      </c>
    </row>
    <row r="393">
      <c r="A393" s="6" t="inlineStr">
        <is>
          <t>24018 - OBRA LUC2</t>
        </is>
      </c>
      <c r="B393" s="6" t="inlineStr">
        <is>
          <t>G26.038</t>
        </is>
      </c>
      <c r="C393" s="6" t="inlineStr">
        <is>
          <t>31/03/2026</t>
        </is>
      </c>
      <c r="D393" s="6" t="inlineStr">
        <is>
          <t>GRUA</t>
        </is>
      </c>
      <c r="E393" s="6" t="inlineStr">
        <is>
          <t>GRUAS Y MAQUINARIA PETREL SL</t>
        </is>
      </c>
      <c r="F393" s="6" t="inlineStr">
        <is>
          <t>IMPUTADO</t>
        </is>
      </c>
      <c r="G393" s="4" t="n">
        <v>720</v>
      </c>
    </row>
    <row r="394">
      <c r="A394" s="6" t="inlineStr">
        <is>
          <t>24018 - OBRA LUC2</t>
        </is>
      </c>
      <c r="B394" s="6" t="inlineStr">
        <is>
          <t>G26.044</t>
        </is>
      </c>
      <c r="C394" s="6" t="inlineStr">
        <is>
          <t>21/04/2026</t>
        </is>
      </c>
      <c r="D394" s="6" t="inlineStr">
        <is>
          <t>GRUA</t>
        </is>
      </c>
      <c r="E394" s="6" t="inlineStr">
        <is>
          <t>GRUAS Y MAQUINARIA PETREL SL</t>
        </is>
      </c>
      <c r="F394" s="6" t="inlineStr">
        <is>
          <t>IMPUTADO</t>
        </is>
      </c>
      <c r="G394" s="4" t="n">
        <v>715</v>
      </c>
    </row>
    <row r="395">
      <c r="A395" s="6" t="inlineStr">
        <is>
          <t>24018 - OBRA LUC2</t>
        </is>
      </c>
      <c r="B395" s="6" t="inlineStr">
        <is>
          <t>3485/2026</t>
        </is>
      </c>
      <c r="C395" s="6" t="inlineStr">
        <is>
          <t>08/03/2026</t>
        </is>
      </c>
      <c r="D395" s="6" t="inlineStr">
        <is>
          <t>BOMBA CIMENTACION</t>
        </is>
      </c>
      <c r="E395" s="6" t="inlineStr">
        <is>
          <t>LORENZO ROMERO MORALEDA</t>
        </is>
      </c>
      <c r="F395" s="6" t="inlineStr">
        <is>
          <t>IMPUTADO</t>
        </is>
      </c>
      <c r="G395" s="4" t="n">
        <v>700</v>
      </c>
    </row>
    <row r="396">
      <c r="A396" s="6" t="inlineStr">
        <is>
          <t>24018 - OBRA LUC2</t>
        </is>
      </c>
      <c r="B396" s="6" t="inlineStr">
        <is>
          <t>A/695</t>
        </is>
      </c>
      <c r="C396" s="6" t="inlineStr">
        <is>
          <t>31/03/2026</t>
        </is>
      </c>
      <c r="D396" s="6" t="inlineStr">
        <is>
          <t>SACA GRAVA + PORTE</t>
        </is>
      </c>
      <c r="E396" s="6" t="inlineStr">
        <is>
          <t>MATERIALES DE CONSTRUCCION LOS CAPITOS SL.</t>
        </is>
      </c>
      <c r="F396" s="6" t="inlineStr">
        <is>
          <t>IMPUTADO</t>
        </is>
      </c>
      <c r="G396" s="4" t="n">
        <v>600.9</v>
      </c>
    </row>
    <row r="397">
      <c r="A397" s="6" t="inlineStr">
        <is>
          <t>24018 - OBRA LUC2</t>
        </is>
      </c>
      <c r="B397" s="6" t="inlineStr">
        <is>
          <t>611490</t>
        </is>
      </c>
      <c r="C397" s="6" t="inlineStr">
        <is>
          <t>18/03/2026</t>
        </is>
      </c>
      <c r="D397" s="6" t="inlineStr">
        <is>
          <t>PRESUPUESTO Nº 611490</t>
        </is>
      </c>
      <c r="E397" s="6" t="inlineStr">
        <is>
          <t>LEROY MERLIN ESPAÑA SL</t>
        </is>
      </c>
      <c r="F397" s="6" t="inlineStr">
        <is>
          <t>IMPUTADO</t>
        </is>
      </c>
      <c r="G397" s="4" t="n">
        <v>528.26</v>
      </c>
    </row>
    <row r="398">
      <c r="A398" s="6" t="inlineStr">
        <is>
          <t>24018 - OBRA LUC2</t>
        </is>
      </c>
      <c r="B398" s="6" t="inlineStr">
        <is>
          <t>1.149,00</t>
        </is>
      </c>
      <c r="C398" s="6" t="inlineStr">
        <is>
          <t>19/01/2026</t>
        </is>
      </c>
      <c r="D398" s="6" t="inlineStr">
        <is>
          <t>Tasas declaracion responsable</t>
        </is>
      </c>
      <c r="E398" s="6" t="inlineStr"/>
      <c r="F398" s="6" t="inlineStr">
        <is>
          <t>IMPUTADO</t>
        </is>
      </c>
      <c r="G398" s="4" t="n">
        <v>429</v>
      </c>
    </row>
    <row r="399">
      <c r="A399" s="6" t="inlineStr">
        <is>
          <t>24018 - OBRA LUC2</t>
        </is>
      </c>
      <c r="B399" s="6" t="inlineStr">
        <is>
          <t>610328</t>
        </is>
      </c>
      <c r="C399" s="6" t="inlineStr">
        <is>
          <t>11/03/2026</t>
        </is>
      </c>
      <c r="D399" s="6" t="inlineStr">
        <is>
          <t>PRESUPUESTO Nº 610328</t>
        </is>
      </c>
      <c r="E399" s="6" t="inlineStr">
        <is>
          <t>LEROY MERLIN ESPAÑA SL</t>
        </is>
      </c>
      <c r="F399" s="6" t="inlineStr">
        <is>
          <t>IMPUTADO</t>
        </is>
      </c>
      <c r="G399" s="4" t="n">
        <v>268.76</v>
      </c>
    </row>
    <row r="400">
      <c r="A400" s="6" t="inlineStr">
        <is>
          <t>24018 - OBRA LUC2</t>
        </is>
      </c>
      <c r="B400" s="6" t="inlineStr">
        <is>
          <t>001100063/26</t>
        </is>
      </c>
      <c r="C400" s="6" t="inlineStr">
        <is>
          <t>13/02/2026</t>
        </is>
      </c>
      <c r="D400" s="6" t="inlineStr">
        <is>
          <t>VERTEDERO TIERRAS</t>
        </is>
      </c>
      <c r="E400" s="6" t="inlineStr">
        <is>
          <t>ARIDOS Y PREFABRICADOS BARINAS SL</t>
        </is>
      </c>
      <c r="F400" s="6" t="inlineStr">
        <is>
          <t>IMPUTADO</t>
        </is>
      </c>
      <c r="G400" s="4" t="n">
        <v>199.57</v>
      </c>
    </row>
    <row r="401">
      <c r="A401" s="6" t="inlineStr">
        <is>
          <t>24018 - OBRA LUC2</t>
        </is>
      </c>
      <c r="B401" s="6" t="inlineStr">
        <is>
          <t>A/883</t>
        </is>
      </c>
      <c r="C401" s="6" t="inlineStr">
        <is>
          <t>16/04/2026</t>
        </is>
      </c>
      <c r="D401" s="6" t="inlineStr">
        <is>
          <t>SACA ARENA</t>
        </is>
      </c>
      <c r="E401" s="6" t="inlineStr">
        <is>
          <t>MATERIALES DE CONSTRUCCION LOS CAPITOS SL.</t>
        </is>
      </c>
      <c r="F401" s="6" t="inlineStr">
        <is>
          <t>IMPUTADO</t>
        </is>
      </c>
      <c r="G401" s="4" t="n">
        <v>192.4</v>
      </c>
    </row>
    <row r="402">
      <c r="A402" s="6" t="inlineStr">
        <is>
          <t>24018 - OBRA LUC2</t>
        </is>
      </c>
      <c r="B402" s="6" t="inlineStr">
        <is>
          <t>616437</t>
        </is>
      </c>
      <c r="C402" s="6" t="inlineStr">
        <is>
          <t>16/04/2026</t>
        </is>
      </c>
      <c r="D402" s="6" t="inlineStr">
        <is>
          <t>PRESUPUESTO 616437</t>
        </is>
      </c>
      <c r="E402" s="6" t="inlineStr">
        <is>
          <t>LEROY MERLIN ESPAÑA SL</t>
        </is>
      </c>
      <c r="F402" s="6" t="inlineStr">
        <is>
          <t>IMPUTADO</t>
        </is>
      </c>
      <c r="G402" s="4" t="n">
        <v>183.24</v>
      </c>
    </row>
    <row r="403">
      <c r="A403" s="6" t="inlineStr">
        <is>
          <t>24018 - OBRA LUC2</t>
        </is>
      </c>
      <c r="B403" s="6" t="inlineStr">
        <is>
          <t>01/000001</t>
        </is>
      </c>
      <c r="C403" s="6" t="inlineStr">
        <is>
          <t>12/02/2026</t>
        </is>
      </c>
      <c r="D403" s="6" t="inlineStr">
        <is>
          <t>DESBROCE SOLAR</t>
        </is>
      </c>
      <c r="E403" s="6" t="inlineStr">
        <is>
          <t>MARCOS GALIANO POVEDA</t>
        </is>
      </c>
      <c r="F403" s="6" t="inlineStr">
        <is>
          <t>IMPUTADO</t>
        </is>
      </c>
      <c r="G403" s="4" t="n">
        <v>180</v>
      </c>
    </row>
    <row r="404">
      <c r="A404" s="6" t="inlineStr">
        <is>
          <t>24018 - OBRA LUC2</t>
        </is>
      </c>
      <c r="B404" s="6" t="inlineStr">
        <is>
          <t>A/235</t>
        </is>
      </c>
      <c r="C404" s="6" t="inlineStr">
        <is>
          <t>06/02/2026</t>
        </is>
      </c>
      <c r="D404" s="6" t="inlineStr">
        <is>
          <t>VALLA MOVIL TIPO S</t>
        </is>
      </c>
      <c r="E404" s="6" t="inlineStr">
        <is>
          <t>MATERIALES DE CONSTRUCCION LOS CAPITOS SL.</t>
        </is>
      </c>
      <c r="F404" s="6" t="inlineStr">
        <is>
          <t>IMPUTADO</t>
        </is>
      </c>
      <c r="G404" s="4" t="n">
        <v>132.98</v>
      </c>
    </row>
    <row r="405">
      <c r="A405" s="6" t="inlineStr">
        <is>
          <t>24018 - OBRA LUC2</t>
        </is>
      </c>
      <c r="B405" s="6" t="inlineStr">
        <is>
          <t>T/00260</t>
        </is>
      </c>
      <c r="C405" s="6" t="inlineStr">
        <is>
          <t>28/02/2026</t>
        </is>
      </c>
      <c r="D405" s="6" t="inlineStr">
        <is>
          <t>DUMPER PINCHAZO</t>
        </is>
      </c>
      <c r="E405" s="6" t="inlineStr">
        <is>
          <t>CHOOSEMAK SOCIEDAD DE RESPONSABILIDAD LIMITADA</t>
        </is>
      </c>
      <c r="F405" s="6" t="inlineStr">
        <is>
          <t>IMPUTADO</t>
        </is>
      </c>
      <c r="G405" s="4" t="n">
        <v>82</v>
      </c>
    </row>
    <row r="406">
      <c r="A406" s="6" t="inlineStr">
        <is>
          <t>24018 - OBRA LUC2</t>
        </is>
      </c>
      <c r="B406" s="6" t="inlineStr">
        <is>
          <t>INV/2026/00055</t>
        </is>
      </c>
      <c r="C406" s="6" t="inlineStr">
        <is>
          <t>27/02/2026</t>
        </is>
      </c>
      <c r="D406" s="6" t="inlineStr">
        <is>
          <t>ROLLO PLASTICO</t>
        </is>
      </c>
      <c r="E406" s="6" t="inlineStr">
        <is>
          <t>JUAN JOSÉ MUÑOZ ROBLES</t>
        </is>
      </c>
      <c r="F406" s="6" t="inlineStr">
        <is>
          <t>IMPUTADO</t>
        </is>
      </c>
      <c r="G406" s="4" t="n">
        <v>72</v>
      </c>
    </row>
    <row r="407">
      <c r="A407" s="6" t="inlineStr">
        <is>
          <t>24018 - OBRA LUC2</t>
        </is>
      </c>
      <c r="B407" s="6" t="inlineStr">
        <is>
          <t>INV/2026/00054</t>
        </is>
      </c>
      <c r="C407" s="6" t="inlineStr">
        <is>
          <t>27/02/2026</t>
        </is>
      </c>
      <c r="D407" s="6" t="inlineStr">
        <is>
          <t>ROLLO PLÁSTICO</t>
        </is>
      </c>
      <c r="E407" s="6" t="inlineStr">
        <is>
          <t>JUAN JOSÉ MUÑOZ ROBLES</t>
        </is>
      </c>
      <c r="F407" s="6" t="inlineStr">
        <is>
          <t>IMPUTADO</t>
        </is>
      </c>
      <c r="G407" s="4" t="n">
        <v>72</v>
      </c>
    </row>
    <row r="408">
      <c r="A408" s="6" t="inlineStr">
        <is>
          <t>24018 - OBRA LUC2</t>
        </is>
      </c>
      <c r="B408" s="6" t="inlineStr">
        <is>
          <t>27</t>
        </is>
      </c>
      <c r="C408" s="6" t="inlineStr">
        <is>
          <t>20/04/2026</t>
        </is>
      </c>
      <c r="D408" s="6" t="inlineStr">
        <is>
          <t>GRUA</t>
        </is>
      </c>
      <c r="E408" s="6" t="inlineStr">
        <is>
          <t>JOSE LUIS PEREZ JAREÑO</t>
        </is>
      </c>
      <c r="F408" s="6" t="inlineStr">
        <is>
          <t>IMPUTADO</t>
        </is>
      </c>
      <c r="G408" s="4" t="n">
        <v>45</v>
      </c>
    </row>
    <row r="409">
      <c r="A409" s="6" t="inlineStr">
        <is>
          <t>24018 - OBRA LUC2</t>
        </is>
      </c>
      <c r="B409" s="6" t="inlineStr">
        <is>
          <t>A20260291</t>
        </is>
      </c>
      <c r="C409" s="6" t="inlineStr">
        <is>
          <t>24/04/2026</t>
        </is>
      </c>
      <c r="D409" s="6" t="inlineStr">
        <is>
          <t>PINTURA/BROCHA/CEPILLO</t>
        </is>
      </c>
      <c r="E409" s="6" t="inlineStr">
        <is>
          <t>ESTABLECIMIENTOS DEMETRIO SL</t>
        </is>
      </c>
      <c r="F409" s="6" t="inlineStr">
        <is>
          <t>IMPUTADO</t>
        </is>
      </c>
      <c r="G409" s="4" t="n">
        <v>42.56</v>
      </c>
    </row>
    <row r="410">
      <c r="A410" s="6" t="inlineStr">
        <is>
          <t>24018 - OBRA LUC2</t>
        </is>
      </c>
      <c r="B410" s="6" t="inlineStr">
        <is>
          <t>A20260117</t>
        </is>
      </c>
      <c r="C410" s="6" t="inlineStr">
        <is>
          <t>06/02/2026</t>
        </is>
      </c>
      <c r="D410" s="6" t="inlineStr">
        <is>
          <t>CADENA GALVANIZADA / CANDADO / HEMBRILLA / TACO</t>
        </is>
      </c>
      <c r="E410" s="6" t="inlineStr">
        <is>
          <t>ESTABLECIMIENTOS DEMETRIO SL</t>
        </is>
      </c>
      <c r="F410" s="6" t="inlineStr">
        <is>
          <t>IMPUTADO</t>
        </is>
      </c>
      <c r="G410" s="4" t="n">
        <v>29.87</v>
      </c>
    </row>
    <row r="411">
      <c r="A411" s="6" t="inlineStr">
        <is>
          <t>24018 - OBRA LUC2</t>
        </is>
      </c>
      <c r="B411" s="6" t="inlineStr">
        <is>
          <t>A20260123</t>
        </is>
      </c>
      <c r="C411" s="6" t="inlineStr">
        <is>
          <t>10/02/2026</t>
        </is>
      </c>
      <c r="D411" s="6" t="inlineStr">
        <is>
          <t>MATERIAL</t>
        </is>
      </c>
      <c r="E411" s="6" t="inlineStr">
        <is>
          <t>ESTABLECIMIENTOS DEMETRIO SL</t>
        </is>
      </c>
      <c r="F411" s="6" t="inlineStr">
        <is>
          <t>IMPUTADO</t>
        </is>
      </c>
      <c r="G411" s="4" t="n">
        <v>23.89</v>
      </c>
    </row>
    <row r="412">
      <c r="A412" s="6" t="inlineStr">
        <is>
          <t>24018 - OBRA LUC2</t>
        </is>
      </c>
      <c r="B412" s="6" t="inlineStr">
        <is>
          <t>A20260134</t>
        </is>
      </c>
      <c r="C412" s="6" t="inlineStr">
        <is>
          <t>25/02/2026</t>
        </is>
      </c>
      <c r="D412" s="6" t="inlineStr">
        <is>
          <t>CANDADO</t>
        </is>
      </c>
      <c r="E412" s="6" t="inlineStr">
        <is>
          <t>ESTABLECIMIENTOS DEMETRIO SL</t>
        </is>
      </c>
      <c r="F412" s="6" t="inlineStr">
        <is>
          <t>IMPUTADO</t>
        </is>
      </c>
      <c r="G412" s="4" t="n">
        <v>12.23</v>
      </c>
    </row>
    <row r="413">
      <c r="A413" s="6" t="inlineStr">
        <is>
          <t>2600 - OBRA MURO CAMPO ARANTXA</t>
        </is>
      </c>
      <c r="B413" s="6" t="inlineStr">
        <is>
          <t>605142</t>
        </is>
      </c>
      <c r="C413" s="6" t="inlineStr">
        <is>
          <t>09/02/2026</t>
        </is>
      </c>
      <c r="D413" s="6" t="inlineStr">
        <is>
          <t>LEROY MERIN (PRESUPUESTO 605142)</t>
        </is>
      </c>
      <c r="E413" s="6" t="inlineStr">
        <is>
          <t>LEROY MERLIN ESPAÑA SL</t>
        </is>
      </c>
      <c r="F413" s="6" t="inlineStr">
        <is>
          <t>IMPUTADO</t>
        </is>
      </c>
      <c r="G413" s="4" t="n">
        <v>3338.27</v>
      </c>
    </row>
    <row r="414">
      <c r="A414" s="6" t="inlineStr">
        <is>
          <t>2600 - OBRA MURO CAMPO ARANTXA</t>
        </is>
      </c>
      <c r="B414" s="6" t="inlineStr">
        <is>
          <t>609376</t>
        </is>
      </c>
      <c r="C414" s="6" t="inlineStr">
        <is>
          <t>05/03/2026</t>
        </is>
      </c>
      <c r="D414" s="6" t="inlineStr">
        <is>
          <t>PRESUPUESTO Nº 609376</t>
        </is>
      </c>
      <c r="E414" s="6" t="inlineStr">
        <is>
          <t>LEROY MERLIN ESPAÑA SL</t>
        </is>
      </c>
      <c r="F414" s="6" t="inlineStr">
        <is>
          <t>IMPUTADO</t>
        </is>
      </c>
      <c r="G414" s="4" t="n">
        <v>477.49</v>
      </c>
    </row>
    <row r="415">
      <c r="A415" s="6" t="inlineStr">
        <is>
          <t>2600 - OBRA MURO CAMPO ARANTXA</t>
        </is>
      </c>
      <c r="B415" s="6" t="inlineStr">
        <is>
          <t>607423-2</t>
        </is>
      </c>
      <c r="C415" s="6" t="inlineStr">
        <is>
          <t>23/02/2026</t>
        </is>
      </c>
      <c r="D415" s="6" t="inlineStr">
        <is>
          <t>PRESUPUESTO Nº 607423-2</t>
        </is>
      </c>
      <c r="E415" s="6" t="inlineStr">
        <is>
          <t>LEROY MERLIN ESPAÑA SL</t>
        </is>
      </c>
      <c r="F415" s="6" t="inlineStr">
        <is>
          <t>IMPUTADO</t>
        </is>
      </c>
      <c r="G415" s="4" t="n">
        <v>414.57</v>
      </c>
    </row>
    <row r="416">
      <c r="A416" s="6" t="inlineStr">
        <is>
          <t>26001 - SANTA ROSA</t>
        </is>
      </c>
      <c r="B416" s="6" t="inlineStr">
        <is>
          <t>2</t>
        </is>
      </c>
      <c r="C416" s="6" t="inlineStr">
        <is>
          <t>05/03/2026</t>
        </is>
      </c>
      <c r="D416" s="6" t="inlineStr">
        <is>
          <t>PLADUR</t>
        </is>
      </c>
      <c r="E416" s="6" t="inlineStr">
        <is>
          <t>FRANCISCO JOSE BERMEJO ROSA</t>
        </is>
      </c>
      <c r="F416" s="6" t="inlineStr">
        <is>
          <t>IMPUTADO</t>
        </is>
      </c>
      <c r="G416" s="4" t="n">
        <v>2940</v>
      </c>
    </row>
    <row r="417">
      <c r="A417" s="6" t="inlineStr">
        <is>
          <t>26001 - SANTA ROSA</t>
        </is>
      </c>
      <c r="B417" s="6" t="inlineStr">
        <is>
          <t>SF 260021</t>
        </is>
      </c>
      <c r="C417" s="6" t="inlineStr">
        <is>
          <t>03/02/2026</t>
        </is>
      </c>
      <c r="D417" s="6" t="inlineStr">
        <is>
          <t>INSTALACIÓN ELÉCTRICA EN VIVIENDA Y BOLETÍN</t>
        </is>
      </c>
      <c r="E417" s="6" t="inlineStr">
        <is>
          <t>MOVE2GO SL.</t>
        </is>
      </c>
      <c r="F417" s="6" t="inlineStr">
        <is>
          <t>IMPUTADO</t>
        </is>
      </c>
      <c r="G417" s="4" t="n">
        <v>1488</v>
      </c>
    </row>
    <row r="418">
      <c r="A418" s="6" t="inlineStr">
        <is>
          <t>26001 - SANTA ROSA</t>
        </is>
      </c>
      <c r="B418" s="6" t="inlineStr">
        <is>
          <t>F-030</t>
        </is>
      </c>
      <c r="C418" s="6" t="inlineStr">
        <is>
          <t>08/04/2026</t>
        </is>
      </c>
      <c r="D418" s="6" t="inlineStr">
        <is>
          <t>COLOCACIÓN TARIMA</t>
        </is>
      </c>
      <c r="E418" s="6" t="inlineStr">
        <is>
          <t>OSCAR DAINEL NUÑEZ BOBADILLA</t>
        </is>
      </c>
      <c r="F418" s="6" t="inlineStr">
        <is>
          <t>IMPUTADO</t>
        </is>
      </c>
      <c r="G418" s="4" t="n">
        <v>1180</v>
      </c>
    </row>
    <row r="419">
      <c r="A419" s="6" t="inlineStr">
        <is>
          <t>26001 - SANTA ROSA</t>
        </is>
      </c>
      <c r="B419" s="6" t="inlineStr">
        <is>
          <t>ene-26</t>
        </is>
      </c>
      <c r="C419" s="6" t="inlineStr">
        <is>
          <t>26/03/2026</t>
        </is>
      </c>
      <c r="D419" s="6" t="inlineStr">
        <is>
          <t>Mano de Obra Tarima #tarima, puertas</t>
        </is>
      </c>
      <c r="E419" s="6" t="inlineStr">
        <is>
          <t>ION NITU</t>
        </is>
      </c>
      <c r="F419" s="6" t="inlineStr">
        <is>
          <t>IMPUTADO</t>
        </is>
      </c>
      <c r="G419" s="4" t="n">
        <v>1080</v>
      </c>
    </row>
    <row r="420">
      <c r="A420" s="6" t="inlineStr">
        <is>
          <t>26001 - SANTA ROSA</t>
        </is>
      </c>
      <c r="B420" s="6" t="inlineStr">
        <is>
          <t>471</t>
        </is>
      </c>
      <c r="C420" s="6" t="inlineStr">
        <is>
          <t>05/02/2026</t>
        </is>
      </c>
      <c r="D420" s="6" t="inlineStr">
        <is>
          <t>MASILLA PARA ALISAR</t>
        </is>
      </c>
      <c r="E420" s="6" t="inlineStr">
        <is>
          <t>DECOBRIC SANZ SL</t>
        </is>
      </c>
      <c r="F420" s="6" t="inlineStr">
        <is>
          <t>IMPUTADO</t>
        </is>
      </c>
      <c r="G420" s="4" t="n">
        <v>726</v>
      </c>
    </row>
    <row r="421">
      <c r="A421" s="6" t="inlineStr">
        <is>
          <t>26001 - SANTA ROSA</t>
        </is>
      </c>
      <c r="B421" s="6" t="inlineStr">
        <is>
          <t>1245</t>
        </is>
      </c>
      <c r="C421" s="6" t="inlineStr">
        <is>
          <t>24/03/2026</t>
        </is>
      </c>
      <c r="D421" s="6" t="inlineStr">
        <is>
          <t>PINTURA</t>
        </is>
      </c>
      <c r="E421" s="6" t="inlineStr">
        <is>
          <t>DECOBRIC SANZ SL</t>
        </is>
      </c>
      <c r="F421" s="6" t="inlineStr">
        <is>
          <t>IMPUTADO</t>
        </is>
      </c>
      <c r="G421" s="4" t="n">
        <v>470.35</v>
      </c>
    </row>
    <row r="422">
      <c r="A422" s="6" t="inlineStr">
        <is>
          <t>26001 - SANTA ROSA</t>
        </is>
      </c>
      <c r="B422" s="6" t="inlineStr">
        <is>
          <t>26/0101</t>
        </is>
      </c>
      <c r="C422" s="6" t="inlineStr">
        <is>
          <t>31/01/2026</t>
        </is>
      </c>
      <c r="D422" s="6" t="inlineStr">
        <is>
          <t>CONTENEDORES</t>
        </is>
      </c>
      <c r="E422" s="6" t="inlineStr">
        <is>
          <t>CONTENEDORES REUNIDOS SL</t>
        </is>
      </c>
      <c r="F422" s="6" t="inlineStr">
        <is>
          <t>IMPUTADO</t>
        </is>
      </c>
      <c r="G422" s="4" t="n">
        <v>435</v>
      </c>
    </row>
    <row r="423">
      <c r="A423" s="6" t="inlineStr">
        <is>
          <t>26001 - SANTA ROSA</t>
        </is>
      </c>
      <c r="B423" s="6" t="inlineStr">
        <is>
          <t>606525</t>
        </is>
      </c>
      <c r="C423" s="6" t="inlineStr">
        <is>
          <t>17/02/2026</t>
        </is>
      </c>
      <c r="D423" s="6" t="inlineStr">
        <is>
          <t>LEROY MERLIN (PRESUPUESTO 606525)</t>
        </is>
      </c>
      <c r="E423" s="6" t="inlineStr">
        <is>
          <t>LEROY MERLIN ESPAÑA SL</t>
        </is>
      </c>
      <c r="F423" s="6" t="inlineStr">
        <is>
          <t>IMPUTADO</t>
        </is>
      </c>
      <c r="G423" s="4" t="n">
        <v>345.13</v>
      </c>
    </row>
    <row r="424">
      <c r="A424" s="6" t="inlineStr">
        <is>
          <t>26001 - SANTA ROSA</t>
        </is>
      </c>
      <c r="B424" s="6" t="inlineStr">
        <is>
          <t>026-0002-418032</t>
        </is>
      </c>
      <c r="C424" s="6" t="inlineStr">
        <is>
          <t>02/02/2026</t>
        </is>
      </c>
      <c r="D424" s="6" t="inlineStr">
        <is>
          <t>MATERIAL OBRA</t>
        </is>
      </c>
      <c r="E424" s="6" t="inlineStr">
        <is>
          <t>BRICOLAJE BRICOMAN SLU</t>
        </is>
      </c>
      <c r="F424" s="6" t="inlineStr">
        <is>
          <t>IMPUTADO</t>
        </is>
      </c>
      <c r="G424" s="4" t="n">
        <v>179.86</v>
      </c>
    </row>
    <row r="425">
      <c r="A425" s="6" t="inlineStr">
        <is>
          <t>26001 - SANTA ROSA</t>
        </is>
      </c>
      <c r="B425" s="6" t="inlineStr">
        <is>
          <t>A/20</t>
        </is>
      </c>
      <c r="C425" s="6" t="inlineStr">
        <is>
          <t>04/02/2026</t>
        </is>
      </c>
      <c r="D425" s="6" t="inlineStr">
        <is>
          <t>PREMARCOS</t>
        </is>
      </c>
      <c r="E425" s="6" t="inlineStr">
        <is>
          <t>CARPINTERIA EBANISTERIA BAMBU SL.</t>
        </is>
      </c>
      <c r="F425" s="6" t="inlineStr">
        <is>
          <t>IMPUTADO</t>
        </is>
      </c>
      <c r="G425" s="4" t="n">
        <v>160</v>
      </c>
    </row>
    <row r="426">
      <c r="A426" s="6" t="inlineStr">
        <is>
          <t>26001 - SANTA ROSA</t>
        </is>
      </c>
      <c r="B426" s="6" t="inlineStr">
        <is>
          <t>105-002-322743</t>
        </is>
      </c>
      <c r="C426" s="6" t="inlineStr">
        <is>
          <t>04/02/2026</t>
        </is>
      </c>
      <c r="D426" s="6" t="inlineStr">
        <is>
          <t>PLATO DUCHA (MEJORA + 20%)</t>
        </is>
      </c>
      <c r="E426" s="6" t="inlineStr">
        <is>
          <t>LEROY MERLIN ESPAÑA SL</t>
        </is>
      </c>
      <c r="F426" s="6" t="inlineStr">
        <is>
          <t>IMPUTADO</t>
        </is>
      </c>
      <c r="G426" s="4" t="n">
        <v>156.16</v>
      </c>
    </row>
    <row r="427">
      <c r="A427" s="6" t="inlineStr">
        <is>
          <t>26001 - SANTA ROSA</t>
        </is>
      </c>
      <c r="B427" s="6" t="inlineStr">
        <is>
          <t>26/0923</t>
        </is>
      </c>
      <c r="C427" s="6" t="inlineStr">
        <is>
          <t>28/02/2026</t>
        </is>
      </c>
      <c r="D427" s="6" t="inlineStr">
        <is>
          <t>CONTENEDORES</t>
        </is>
      </c>
      <c r="E427" s="6" t="inlineStr">
        <is>
          <t>CONTENEDORES REUNIDOS SL</t>
        </is>
      </c>
      <c r="F427" s="6" t="inlineStr">
        <is>
          <t>IMPUTADO</t>
        </is>
      </c>
      <c r="G427" s="4" t="n">
        <v>145</v>
      </c>
    </row>
    <row r="428">
      <c r="A428" s="6" t="inlineStr">
        <is>
          <t>26001 - SANTA ROSA</t>
        </is>
      </c>
      <c r="B428" s="6" t="inlineStr">
        <is>
          <t>026-0003-447956</t>
        </is>
      </c>
      <c r="C428" s="6" t="inlineStr">
        <is>
          <t>10/03/2026</t>
        </is>
      </c>
      <c r="D428" s="6" t="inlineStr">
        <is>
          <t>MATERIAL OBRA</t>
        </is>
      </c>
      <c r="E428" s="6" t="inlineStr">
        <is>
          <t>BRICOLAJE BRICOMAN SLU</t>
        </is>
      </c>
      <c r="F428" s="6" t="inlineStr">
        <is>
          <t>IMPUTADO</t>
        </is>
      </c>
      <c r="G428" s="4" t="n">
        <v>86.63</v>
      </c>
    </row>
    <row r="429">
      <c r="A429" s="6" t="inlineStr">
        <is>
          <t>26001 - SANTA ROSA</t>
        </is>
      </c>
      <c r="B429" s="6" t="inlineStr">
        <is>
          <t>1324</t>
        </is>
      </c>
      <c r="C429" s="6" t="inlineStr">
        <is>
          <t>30/03/2026</t>
        </is>
      </c>
      <c r="D429" s="6" t="inlineStr">
        <is>
          <t>PINTURA</t>
        </is>
      </c>
      <c r="E429" s="6" t="inlineStr">
        <is>
          <t>DECOBRIC SANZ SL</t>
        </is>
      </c>
      <c r="F429" s="6" t="inlineStr">
        <is>
          <t>IMPUTADO</t>
        </is>
      </c>
      <c r="G429" s="4" t="n">
        <v>76.5</v>
      </c>
    </row>
    <row r="430">
      <c r="A430" s="6" t="inlineStr">
        <is>
          <t>26001 - SANTA ROSA</t>
        </is>
      </c>
      <c r="B430" s="6" t="inlineStr">
        <is>
          <t>026-0002-426922</t>
        </is>
      </c>
      <c r="C430" s="6" t="inlineStr">
        <is>
          <t>12/02/2026</t>
        </is>
      </c>
      <c r="D430" s="6" t="inlineStr">
        <is>
          <t>ARENA MEZCLA / YESO CONTROL PLACO / WEBERCOL FLEX DUO / # ALBAÑILERIA - MATERIAL</t>
        </is>
      </c>
      <c r="E430" s="6" t="inlineStr">
        <is>
          <t>BRICOLAJE BRICOMAN SLU</t>
        </is>
      </c>
      <c r="F430" s="6" t="inlineStr">
        <is>
          <t>IMPUTADO</t>
        </is>
      </c>
      <c r="G430" s="4" t="n">
        <v>72.48</v>
      </c>
    </row>
    <row r="431">
      <c r="A431" s="6" t="inlineStr">
        <is>
          <t>26001 - SANTA ROSA</t>
        </is>
      </c>
      <c r="B431" s="6" t="inlineStr">
        <is>
          <t>472</t>
        </is>
      </c>
      <c r="C431" s="6" t="inlineStr">
        <is>
          <t>05/02/2026</t>
        </is>
      </c>
      <c r="D431" s="6" t="inlineStr">
        <is>
          <t>DICOS ABRANET 225mm</t>
        </is>
      </c>
      <c r="E431" s="6" t="inlineStr"/>
      <c r="F431" s="6" t="inlineStr">
        <is>
          <t>IMPUTADO</t>
        </is>
      </c>
      <c r="G431" s="4" t="n">
        <v>71.78</v>
      </c>
    </row>
    <row r="432">
      <c r="A432" s="6" t="inlineStr">
        <is>
          <t>26001 - SANTA ROSA</t>
        </is>
      </c>
      <c r="B432" s="6" t="inlineStr">
        <is>
          <t>1273</t>
        </is>
      </c>
      <c r="C432" s="6" t="inlineStr">
        <is>
          <t>25/03/2026</t>
        </is>
      </c>
      <c r="D432" s="6" t="inlineStr">
        <is>
          <t>PINTURA</t>
        </is>
      </c>
      <c r="E432" s="6" t="inlineStr">
        <is>
          <t>DECOBRIC SANZ SL</t>
        </is>
      </c>
      <c r="F432" s="6" t="inlineStr">
        <is>
          <t>IMPUTADO</t>
        </is>
      </c>
      <c r="G432" s="4" t="n">
        <v>60.33</v>
      </c>
    </row>
    <row r="433">
      <c r="A433" s="6" t="inlineStr">
        <is>
          <t>26001 - SANTA ROSA</t>
        </is>
      </c>
      <c r="B433" s="6" t="inlineStr">
        <is>
          <t>MF1-1918</t>
        </is>
      </c>
      <c r="C433" s="6" t="inlineStr">
        <is>
          <t>10/02/2026</t>
        </is>
      </c>
      <c r="D433" s="6" t="inlineStr">
        <is>
          <t>CERROJO SEGURIDAD (MEJORA + 20%) ENEL CERROJO</t>
        </is>
      </c>
      <c r="E433" s="6" t="inlineStr">
        <is>
          <t>FERRETERIA SANTIAGO EL MAYOR</t>
        </is>
      </c>
      <c r="F433" s="6" t="inlineStr">
        <is>
          <t>IMPUTADO</t>
        </is>
      </c>
      <c r="G433" s="4" t="n">
        <v>59.13</v>
      </c>
    </row>
    <row r="434">
      <c r="A434" s="6" t="inlineStr">
        <is>
          <t>26001 - SANTA ROSA</t>
        </is>
      </c>
      <c r="B434" s="6" t="inlineStr">
        <is>
          <t>026-0002-418056</t>
        </is>
      </c>
      <c r="C434" s="6" t="inlineStr">
        <is>
          <t>02/02/2026</t>
        </is>
      </c>
      <c r="D434" s="6" t="inlineStr">
        <is>
          <t>MATERIAL OBRA</t>
        </is>
      </c>
      <c r="E434" s="6" t="inlineStr">
        <is>
          <t>BRICOLAJE BRICOMAN SLU</t>
        </is>
      </c>
      <c r="F434" s="6" t="inlineStr">
        <is>
          <t>IMPUTADO</t>
        </is>
      </c>
      <c r="G434" s="4" t="n">
        <v>53.17</v>
      </c>
    </row>
    <row r="435">
      <c r="A435" s="6" t="inlineStr">
        <is>
          <t>26001 - SANTA ROSA</t>
        </is>
      </c>
      <c r="B435" s="6" t="inlineStr">
        <is>
          <t>026-0002-423664</t>
        </is>
      </c>
      <c r="C435" s="6" t="inlineStr">
        <is>
          <t>09/02/2026</t>
        </is>
      </c>
      <c r="D435" s="6" t="inlineStr">
        <is>
          <t>GRAVA / ARENA BCO / CEMENTO / YEO CONTROL #ALBAÑILERIA - MATERIAL</t>
        </is>
      </c>
      <c r="E435" s="6" t="inlineStr">
        <is>
          <t>BRICOLAJE BRICOMAN SLU</t>
        </is>
      </c>
      <c r="F435" s="6" t="inlineStr">
        <is>
          <t>IMPUTADO</t>
        </is>
      </c>
      <c r="G435" s="4" t="n">
        <v>51.94</v>
      </c>
    </row>
    <row r="436">
      <c r="A436" s="6" t="inlineStr">
        <is>
          <t>26001 - SANTA ROSA</t>
        </is>
      </c>
      <c r="B436" s="6" t="inlineStr">
        <is>
          <t>261392</t>
        </is>
      </c>
      <c r="C436" s="6" t="inlineStr">
        <is>
          <t>30/03/2026</t>
        </is>
      </c>
      <c r="D436" s="6" t="inlineStr">
        <is>
          <t>ARREGLO PERSINAA</t>
        </is>
      </c>
      <c r="E436" s="6" t="inlineStr">
        <is>
          <t>TABLEROS Y PUERTAS MORENO SL</t>
        </is>
      </c>
      <c r="F436" s="6" t="inlineStr">
        <is>
          <t>IMPUTADO</t>
        </is>
      </c>
      <c r="G436" s="4" t="n">
        <v>45.73</v>
      </c>
    </row>
    <row r="437">
      <c r="A437" s="6" t="inlineStr">
        <is>
          <t>26001 - SANTA ROSA</t>
        </is>
      </c>
      <c r="B437" s="6" t="inlineStr">
        <is>
          <t>105-0004-332459</t>
        </is>
      </c>
      <c r="C437" s="6" t="inlineStr">
        <is>
          <t>15/04/2026</t>
        </is>
      </c>
      <c r="D437" s="6" t="inlineStr">
        <is>
          <t>MATERIAL OBRA</t>
        </is>
      </c>
      <c r="E437" s="6" t="inlineStr">
        <is>
          <t>LEROY MERLIN ESPAÑA SL</t>
        </is>
      </c>
      <c r="F437" s="6" t="inlineStr">
        <is>
          <t>IMPUTADO</t>
        </is>
      </c>
      <c r="G437" s="4" t="n">
        <v>45.32</v>
      </c>
    </row>
    <row r="438">
      <c r="A438" s="6" t="inlineStr">
        <is>
          <t>26001 - SANTA ROSA</t>
        </is>
      </c>
      <c r="B438" s="6" t="inlineStr">
        <is>
          <t>062-0003-150443</t>
        </is>
      </c>
      <c r="C438" s="6" t="inlineStr">
        <is>
          <t>06/03/2026</t>
        </is>
      </c>
      <c r="D438" s="6" t="inlineStr">
        <is>
          <t>TUBO EXTRACCIÓN</t>
        </is>
      </c>
      <c r="E438" s="6" t="inlineStr">
        <is>
          <t>LEROY MERLIN ESPAÑA SL</t>
        </is>
      </c>
      <c r="F438" s="6" t="inlineStr">
        <is>
          <t>IMPUTADO</t>
        </is>
      </c>
      <c r="G438" s="4" t="n">
        <v>37.84</v>
      </c>
    </row>
    <row r="439">
      <c r="A439" s="6" t="inlineStr">
        <is>
          <t>26001 - SANTA ROSA</t>
        </is>
      </c>
      <c r="B439" s="6" t="inlineStr">
        <is>
          <t>MF1-19888</t>
        </is>
      </c>
      <c r="C439" s="6" t="inlineStr">
        <is>
          <t>30/03/2026</t>
        </is>
      </c>
      <c r="D439" s="6" t="inlineStr">
        <is>
          <t>MATERIAL OBRA</t>
        </is>
      </c>
      <c r="E439" s="6" t="inlineStr">
        <is>
          <t>FERRETERIA SANTIAGO EL MAYOR</t>
        </is>
      </c>
      <c r="F439" s="6" t="inlineStr">
        <is>
          <t>IMPUTADO</t>
        </is>
      </c>
      <c r="G439" s="4" t="n">
        <v>34.46</v>
      </c>
    </row>
    <row r="440">
      <c r="A440" s="6" t="inlineStr">
        <is>
          <t>26001 - SANTA ROSA</t>
        </is>
      </c>
      <c r="B440" s="6" t="inlineStr">
        <is>
          <t>105-0003-328916</t>
        </is>
      </c>
      <c r="C440" s="6" t="inlineStr">
        <is>
          <t>20/03/2026</t>
        </is>
      </c>
      <c r="D440" s="6" t="inlineStr">
        <is>
          <t>MATERIAL OBRA #mejora</t>
        </is>
      </c>
      <c r="E440" s="6" t="inlineStr">
        <is>
          <t>LEROY MERLIN ESPAÑA SL</t>
        </is>
      </c>
      <c r="F440" s="6" t="inlineStr">
        <is>
          <t>IMPUTADO</t>
        </is>
      </c>
      <c r="G440" s="4" t="n">
        <v>33.12</v>
      </c>
    </row>
    <row r="441">
      <c r="A441" s="6" t="inlineStr">
        <is>
          <t>26001 - SANTA ROSA</t>
        </is>
      </c>
      <c r="B441" s="6" t="inlineStr">
        <is>
          <t>1222</t>
        </is>
      </c>
      <c r="C441" s="6" t="inlineStr">
        <is>
          <t>23/03/2026</t>
        </is>
      </c>
      <c r="D441" s="6" t="inlineStr">
        <is>
          <t>MORAFOND-LIMPIEZA SALITRE  OXIDOO #mejora</t>
        </is>
      </c>
      <c r="E441" s="6" t="inlineStr">
        <is>
          <t>DECOBRIC SANZ SL</t>
        </is>
      </c>
      <c r="F441" s="6" t="inlineStr">
        <is>
          <t>IMPUTADO</t>
        </is>
      </c>
      <c r="G441" s="4" t="n">
        <v>21.66</v>
      </c>
    </row>
    <row r="442">
      <c r="A442" s="6" t="inlineStr">
        <is>
          <t>26001 - SANTA ROSA</t>
        </is>
      </c>
      <c r="B442" s="6" t="inlineStr">
        <is>
          <t>026-0004-471905</t>
        </is>
      </c>
      <c r="C442" s="6" t="inlineStr">
        <is>
          <t>10/04/2026</t>
        </is>
      </c>
      <c r="D442" s="6" t="inlineStr">
        <is>
          <t>PISTOLA SILICONA, BOCA EXTRACCION</t>
        </is>
      </c>
      <c r="E442" s="6" t="inlineStr">
        <is>
          <t>BRICOLAJE BRICOMAN SLU</t>
        </is>
      </c>
      <c r="F442" s="6" t="inlineStr">
        <is>
          <t>IMPUTADO</t>
        </is>
      </c>
      <c r="G442" s="4" t="n">
        <v>20.46</v>
      </c>
    </row>
    <row r="443">
      <c r="A443" s="6" t="inlineStr">
        <is>
          <t>26001 - SANTA ROSA</t>
        </is>
      </c>
      <c r="B443" s="6" t="inlineStr">
        <is>
          <t>105-0004-331415</t>
        </is>
      </c>
      <c r="C443" s="6" t="inlineStr">
        <is>
          <t>08/04/2026</t>
        </is>
      </c>
      <c r="D443" s="6" t="inlineStr">
        <is>
          <t>MATERIAL</t>
        </is>
      </c>
      <c r="E443" s="6" t="inlineStr">
        <is>
          <t>LEROY MERLIN ESPAÑA SL</t>
        </is>
      </c>
      <c r="F443" s="6" t="inlineStr">
        <is>
          <t>IMPUTADO</t>
        </is>
      </c>
      <c r="G443" s="4" t="n">
        <v>17.83</v>
      </c>
    </row>
    <row r="444">
      <c r="A444" s="6" t="inlineStr">
        <is>
          <t>26001 - SANTA ROSA</t>
        </is>
      </c>
      <c r="B444" s="6" t="inlineStr">
        <is>
          <t>1290</t>
        </is>
      </c>
      <c r="C444" s="6" t="inlineStr">
        <is>
          <t>26/03/2026</t>
        </is>
      </c>
      <c r="D444" s="6" t="inlineStr">
        <is>
          <t>PINTURA</t>
        </is>
      </c>
      <c r="E444" s="6" t="inlineStr">
        <is>
          <t>DECOBRIC SANZ SL</t>
        </is>
      </c>
      <c r="F444" s="6" t="inlineStr">
        <is>
          <t>IMPUTADO</t>
        </is>
      </c>
      <c r="G444" s="4" t="n">
        <v>17.83</v>
      </c>
    </row>
    <row r="445">
      <c r="A445" s="6" t="inlineStr">
        <is>
          <t>26001 - SANTA ROSA</t>
        </is>
      </c>
      <c r="B445" s="6" t="inlineStr">
        <is>
          <t>105-003-329830</t>
        </is>
      </c>
      <c r="C445" s="6" t="inlineStr">
        <is>
          <t>26/03/2026</t>
        </is>
      </c>
      <c r="D445" s="6" t="inlineStr">
        <is>
          <t>ADH ACRILICO - ESPUMA TEJAS #mejora</t>
        </is>
      </c>
      <c r="E445" s="6" t="inlineStr">
        <is>
          <t>LEROY MERLIN ESPAÑA SL</t>
        </is>
      </c>
      <c r="F445" s="6" t="inlineStr">
        <is>
          <t>IMPUTADO</t>
        </is>
      </c>
      <c r="G445" s="4" t="n">
        <v>15.29</v>
      </c>
    </row>
    <row r="446">
      <c r="A446" s="6" t="inlineStr">
        <is>
          <t>26001 - SANTA ROSA</t>
        </is>
      </c>
      <c r="B446" s="6" t="inlineStr">
        <is>
          <t>026-0002-423691</t>
        </is>
      </c>
      <c r="C446" s="6" t="inlineStr">
        <is>
          <t>09/02/2026</t>
        </is>
      </c>
      <c r="D446" s="6" t="inlineStr">
        <is>
          <t>TUVO PVC VARIOS #ALBAÑILERIA - MATERIAL</t>
        </is>
      </c>
      <c r="E446" s="6" t="inlineStr">
        <is>
          <t>BRICOLAJE BRICOMAN SLU</t>
        </is>
      </c>
      <c r="F446" s="6" t="inlineStr">
        <is>
          <t>IMPUTADO</t>
        </is>
      </c>
      <c r="G446" s="4" t="n">
        <v>14.2</v>
      </c>
    </row>
    <row r="447">
      <c r="A447" s="6" t="inlineStr">
        <is>
          <t>26001 - SANTA ROSA</t>
        </is>
      </c>
      <c r="B447" s="6" t="inlineStr">
        <is>
          <t>2.006,00</t>
        </is>
      </c>
      <c r="C447" s="6" t="inlineStr">
        <is>
          <t>01/10/2026</t>
        </is>
      </c>
      <c r="D447" s="6" t="inlineStr">
        <is>
          <t>CINTA</t>
        </is>
      </c>
      <c r="E447" s="6" t="inlineStr">
        <is>
          <t>DECOBRIC SANZ SL</t>
        </is>
      </c>
      <c r="F447" s="6" t="inlineStr">
        <is>
          <t>IMPUTADO</t>
        </is>
      </c>
      <c r="G447" s="4" t="n">
        <v>-9</v>
      </c>
    </row>
    <row r="448">
      <c r="A448" s="6" t="inlineStr">
        <is>
          <t>26001 - SANTA ROSA</t>
        </is>
      </c>
      <c r="B448" s="6" t="inlineStr">
        <is>
          <t>MF1-1989</t>
        </is>
      </c>
      <c r="C448" s="6" t="inlineStr">
        <is>
          <t>30/03/2026</t>
        </is>
      </c>
      <c r="D448" s="6" t="inlineStr">
        <is>
          <t>MATERIAL PERSIANA #mejora pintura</t>
        </is>
      </c>
      <c r="E448" s="6" t="inlineStr">
        <is>
          <t>FERRETERIA SANTIAGO EL MAYOR</t>
        </is>
      </c>
      <c r="F448" s="6" t="inlineStr">
        <is>
          <t>IMPUTADO</t>
        </is>
      </c>
      <c r="G448" s="4" t="n">
        <v>8.550000000000001</v>
      </c>
    </row>
    <row r="449">
      <c r="A449" s="6" t="inlineStr">
        <is>
          <t>26002 - GARAJE MURCIA</t>
        </is>
      </c>
      <c r="B449" s="6" t="inlineStr">
        <is>
          <t>SF 260066</t>
        </is>
      </c>
      <c r="C449" s="6" t="inlineStr">
        <is>
          <t>18/03/2026</t>
        </is>
      </c>
      <c r="D449" s="6" t="inlineStr">
        <is>
          <t>INTALACIÓN COMPLETA DE ELECTRICIDAD EN GARAJE</t>
        </is>
      </c>
      <c r="E449" s="6" t="inlineStr">
        <is>
          <t>MOVE2GO SL.</t>
        </is>
      </c>
      <c r="F449" s="6" t="inlineStr">
        <is>
          <t>IMPUTADO</t>
        </is>
      </c>
      <c r="G449" s="4" t="n">
        <v>1087.5</v>
      </c>
    </row>
    <row r="450">
      <c r="A450" s="6" t="inlineStr">
        <is>
          <t>26002 - GARAJE MURCIA</t>
        </is>
      </c>
      <c r="B450" s="6" t="inlineStr">
        <is>
          <t>SF 260020</t>
        </is>
      </c>
      <c r="C450" s="6" t="inlineStr">
        <is>
          <t>03/02/2026</t>
        </is>
      </c>
      <c r="D450" s="6" t="inlineStr">
        <is>
          <t>INTALACIÓN COMPLETA DE ELECTRICIDAD EN GARAJE</t>
        </is>
      </c>
      <c r="E450" s="6" t="inlineStr">
        <is>
          <t>MOVE2GO SL.</t>
        </is>
      </c>
      <c r="F450" s="6" t="inlineStr">
        <is>
          <t>IMPUTADO</t>
        </is>
      </c>
      <c r="G450" s="4" t="n">
        <v>1087.5</v>
      </c>
    </row>
    <row r="451">
      <c r="A451" s="6" t="inlineStr">
        <is>
          <t>26002 - GARAJE MURCIA</t>
        </is>
      </c>
      <c r="B451" s="6" t="inlineStr">
        <is>
          <t>603119</t>
        </is>
      </c>
      <c r="C451" s="6" t="inlineStr">
        <is>
          <t>28/01/2026</t>
        </is>
      </c>
      <c r="D451" s="6" t="inlineStr">
        <is>
          <t>LEROY MERLIN (PRESUPUESTO 603119) FOTO EN DOCUMENTOS</t>
        </is>
      </c>
      <c r="E451" s="6" t="inlineStr">
        <is>
          <t>LEROY MERLIN ESPAÑA SL</t>
        </is>
      </c>
      <c r="F451" s="6" t="inlineStr">
        <is>
          <t>IMPUTADO</t>
        </is>
      </c>
      <c r="G451" s="4" t="n">
        <v>469.96</v>
      </c>
    </row>
    <row r="452">
      <c r="A452" s="6" t="inlineStr">
        <is>
          <t>26002 - GARAJE MURCIA</t>
        </is>
      </c>
      <c r="B452" s="6" t="inlineStr">
        <is>
          <t>602161</t>
        </is>
      </c>
      <c r="C452" s="6" t="inlineStr">
        <is>
          <t>23/02/2026</t>
        </is>
      </c>
      <c r="D452" s="6" t="inlineStr">
        <is>
          <t>LEROY MERLIN (PRESUPUESTO 602161) FOTO EN DOCUMENTOS</t>
        </is>
      </c>
      <c r="E452" s="6" t="inlineStr">
        <is>
          <t>LEROY MERLIN ESPAÑA SL</t>
        </is>
      </c>
      <c r="F452" s="6" t="inlineStr">
        <is>
          <t>IMPUTADO</t>
        </is>
      </c>
      <c r="G452" s="4" t="n">
        <v>352.76</v>
      </c>
    </row>
    <row r="453">
      <c r="A453" s="6" t="inlineStr">
        <is>
          <t>26002 - GARAJE MURCIA</t>
        </is>
      </c>
      <c r="B453" s="6" t="inlineStr">
        <is>
          <t>601689</t>
        </is>
      </c>
      <c r="C453" s="6" t="inlineStr">
        <is>
          <t>19/02/2026</t>
        </is>
      </c>
      <c r="D453" s="6" t="inlineStr">
        <is>
          <t>LEROY MERLIN (DUPLICADO PRESUPUESTO 601689) FOTO EN DOCUMENTOS</t>
        </is>
      </c>
      <c r="E453" s="6" t="inlineStr">
        <is>
          <t>LEROY MERLIN ESPAÑA SL</t>
        </is>
      </c>
      <c r="F453" s="6" t="inlineStr">
        <is>
          <t>IMPUTADO</t>
        </is>
      </c>
      <c r="G453" s="4" t="n">
        <v>352.76</v>
      </c>
    </row>
    <row r="454">
      <c r="A454" s="6" t="inlineStr">
        <is>
          <t>26003 - BARINAS</t>
        </is>
      </c>
      <c r="B454" s="6" t="inlineStr">
        <is>
          <t>607424-1</t>
        </is>
      </c>
      <c r="C454" s="6" t="inlineStr">
        <is>
          <t>23/02/2026</t>
        </is>
      </c>
      <c r="D454" s="6" t="inlineStr">
        <is>
          <t>LEROY MERLIN (PRESUPUESTO 607424-1)</t>
        </is>
      </c>
      <c r="E454" s="6" t="inlineStr">
        <is>
          <t>LEROY MERLIN ESPAÑA SL</t>
        </is>
      </c>
      <c r="F454" s="6" t="inlineStr">
        <is>
          <t>IMPUTADO</t>
        </is>
      </c>
      <c r="G454" s="4" t="n">
        <v>4242.79</v>
      </c>
    </row>
    <row r="455">
      <c r="A455" s="6" t="inlineStr">
        <is>
          <t>26003 - BARINAS</t>
        </is>
      </c>
      <c r="B455" s="6" t="inlineStr">
        <is>
          <t>CTD/26 000038</t>
        </is>
      </c>
      <c r="C455" s="6" t="inlineStr">
        <is>
          <t>02/03/2026</t>
        </is>
      </c>
      <c r="D455" s="6" t="inlineStr">
        <is>
          <t>TABLERO TEJADO VISTO Y RASTRELES</t>
        </is>
      </c>
      <c r="E455" s="6" t="inlineStr">
        <is>
          <t>MADERAS RIO SEGURA ALQUILERES SL</t>
        </is>
      </c>
      <c r="F455" s="6" t="inlineStr">
        <is>
          <t>IMPUTADO</t>
        </is>
      </c>
      <c r="G455" s="4" t="n">
        <v>3207.63</v>
      </c>
    </row>
    <row r="456">
      <c r="A456" s="6" t="inlineStr">
        <is>
          <t>26003 - BARINAS</t>
        </is>
      </c>
      <c r="B456" s="6" t="inlineStr">
        <is>
          <t>607424-2</t>
        </is>
      </c>
      <c r="C456" s="6" t="inlineStr">
        <is>
          <t>23/02/2026</t>
        </is>
      </c>
      <c r="D456" s="6" t="inlineStr">
        <is>
          <t>LEROY MERLIN (PRESUPUESTO 607424-2)</t>
        </is>
      </c>
      <c r="E456" s="6" t="inlineStr">
        <is>
          <t>LEROY MERLIN ESPAÑA SL</t>
        </is>
      </c>
      <c r="F456" s="6" t="inlineStr">
        <is>
          <t>IMPUTADO</t>
        </is>
      </c>
      <c r="G456" s="4" t="n">
        <v>1497.32</v>
      </c>
    </row>
    <row r="457">
      <c r="A457" s="6" t="inlineStr">
        <is>
          <t>26003 - BARINAS</t>
        </is>
      </c>
      <c r="B457" s="6" t="inlineStr">
        <is>
          <t>26/344</t>
        </is>
      </c>
      <c r="C457" s="6" t="inlineStr">
        <is>
          <t>30/04/2026</t>
        </is>
      </c>
      <c r="D457" s="6" t="inlineStr">
        <is>
          <t>FERRALLA PISCINA</t>
        </is>
      </c>
      <c r="E457" s="6" t="inlineStr">
        <is>
          <t>FERRALLAS MONFORTE DEL CID SL.</t>
        </is>
      </c>
      <c r="F457" s="6" t="inlineStr">
        <is>
          <t>IMPUTADO</t>
        </is>
      </c>
      <c r="G457" s="4" t="n">
        <v>1433.9</v>
      </c>
    </row>
    <row r="458">
      <c r="A458" s="6" t="inlineStr">
        <is>
          <t>26003 - BARINAS</t>
        </is>
      </c>
      <c r="B458" s="6" t="inlineStr">
        <is>
          <t>617768</t>
        </is>
      </c>
      <c r="C458" s="6" t="inlineStr">
        <is>
          <t>23/04/2026</t>
        </is>
      </c>
      <c r="D458" s="6" t="inlineStr">
        <is>
          <t>PRESUPUESTO N.º 617768</t>
        </is>
      </c>
      <c r="E458" s="6" t="inlineStr">
        <is>
          <t>LEROY MERLIN ESPAÑA SL</t>
        </is>
      </c>
      <c r="F458" s="6" t="inlineStr">
        <is>
          <t>IMPUTADO</t>
        </is>
      </c>
      <c r="G458" s="4" t="n">
        <v>756.1799999999999</v>
      </c>
    </row>
    <row r="459">
      <c r="A459" s="6" t="inlineStr">
        <is>
          <t>26003 - BARINAS</t>
        </is>
      </c>
      <c r="B459" s="6" t="inlineStr">
        <is>
          <t>615230</t>
        </is>
      </c>
      <c r="C459" s="6" t="inlineStr">
        <is>
          <t>09/04/2026</t>
        </is>
      </c>
      <c r="D459" s="6" t="inlineStr">
        <is>
          <t>PRESUPUESTO Nº 615230</t>
        </is>
      </c>
      <c r="E459" s="6" t="inlineStr">
        <is>
          <t>LEROY MERLIN ESPAÑA SL</t>
        </is>
      </c>
      <c r="F459" s="6" t="inlineStr">
        <is>
          <t>IMPUTADO</t>
        </is>
      </c>
      <c r="G459" s="4" t="n">
        <v>474.73</v>
      </c>
    </row>
    <row r="460">
      <c r="A460" s="6" t="inlineStr">
        <is>
          <t>26003 - BARINAS</t>
        </is>
      </c>
      <c r="B460" s="6" t="inlineStr">
        <is>
          <t>G26.043</t>
        </is>
      </c>
      <c r="C460" s="6" t="inlineStr">
        <is>
          <t>21/04/2026</t>
        </is>
      </c>
      <c r="D460" s="6" t="inlineStr">
        <is>
          <t>GRUA</t>
        </is>
      </c>
      <c r="E460" s="6" t="inlineStr">
        <is>
          <t>GRUAS Y MAQUINARIA PETREL SL</t>
        </is>
      </c>
      <c r="F460" s="6" t="inlineStr">
        <is>
          <t>IMPUTADO</t>
        </is>
      </c>
      <c r="G460" s="4" t="n">
        <v>390</v>
      </c>
    </row>
    <row r="461">
      <c r="A461" s="6" t="inlineStr">
        <is>
          <t>26003 - BARINAS</t>
        </is>
      </c>
      <c r="B461" s="6" t="inlineStr">
        <is>
          <t>2026/00/004198</t>
        </is>
      </c>
      <c r="C461" s="6" t="inlineStr">
        <is>
          <t>10/04/2026</t>
        </is>
      </c>
      <c r="D461" s="6" t="inlineStr">
        <is>
          <t>TEJA BLANCA</t>
        </is>
      </c>
      <c r="E461" s="6" t="inlineStr">
        <is>
          <t>MATERIALES DE CONSTRUCCION ALIAGA SL</t>
        </is>
      </c>
      <c r="F461" s="6" t="inlineStr">
        <is>
          <t>IMPUTADO</t>
        </is>
      </c>
      <c r="G461" s="4" t="n">
        <v>299.5</v>
      </c>
    </row>
    <row r="462">
      <c r="A462" s="6" t="inlineStr">
        <is>
          <t>26003 - BARINAS</t>
        </is>
      </c>
      <c r="B462" s="6" t="inlineStr">
        <is>
          <t>G26.050</t>
        </is>
      </c>
      <c r="C462" s="6" t="inlineStr">
        <is>
          <t>30/04/2026</t>
        </is>
      </c>
      <c r="D462" s="6" t="inlineStr">
        <is>
          <t>GRUA</t>
        </is>
      </c>
      <c r="E462" s="6" t="inlineStr">
        <is>
          <t>GRUAS Y MAQUINARIA PETREL SL</t>
        </is>
      </c>
      <c r="F462" s="6" t="inlineStr">
        <is>
          <t>IMPUTADO</t>
        </is>
      </c>
      <c r="G462" s="4" t="n">
        <v>292.5</v>
      </c>
    </row>
    <row r="463">
      <c r="A463" s="6" t="inlineStr">
        <is>
          <t>26003 - BARINAS</t>
        </is>
      </c>
      <c r="B463" s="6" t="inlineStr">
        <is>
          <t>062-0003-156460</t>
        </is>
      </c>
      <c r="C463" s="6" t="inlineStr">
        <is>
          <t>18/03/2026</t>
        </is>
      </c>
      <c r="D463" s="6" t="inlineStr">
        <is>
          <t>COLA CONTACTO - DISOLVENTE</t>
        </is>
      </c>
      <c r="E463" s="6" t="inlineStr">
        <is>
          <t>LEROY MERLIN ESPAÑA SL</t>
        </is>
      </c>
      <c r="F463" s="6" t="inlineStr">
        <is>
          <t>IMPUTADO</t>
        </is>
      </c>
      <c r="G463" s="4" t="n">
        <v>279.83</v>
      </c>
    </row>
    <row r="464">
      <c r="A464" s="6" t="inlineStr">
        <is>
          <t>26003 - BARINAS</t>
        </is>
      </c>
      <c r="B464" s="6" t="inlineStr">
        <is>
          <t>041-0003-962017</t>
        </is>
      </c>
      <c r="C464" s="6" t="inlineStr">
        <is>
          <t>26/03/2026</t>
        </is>
      </c>
      <c r="D464" s="6" t="inlineStr">
        <is>
          <t>COLA AISLAMIENTO - COLA CONTACTO</t>
        </is>
      </c>
      <c r="E464" s="6" t="inlineStr">
        <is>
          <t>LEROY MERLIN ESPAÑA SL</t>
        </is>
      </c>
      <c r="F464" s="6" t="inlineStr">
        <is>
          <t>IMPUTADO</t>
        </is>
      </c>
      <c r="G464" s="4" t="n">
        <v>251.87</v>
      </c>
    </row>
    <row r="465">
      <c r="A465" s="6" t="inlineStr">
        <is>
          <t>26003 - BARINAS</t>
        </is>
      </c>
      <c r="B465" s="6" t="inlineStr">
        <is>
          <t>CTD/26 000063</t>
        </is>
      </c>
      <c r="C465" s="6" t="inlineStr">
        <is>
          <t>08/04/2026</t>
        </is>
      </c>
      <c r="D465" s="6" t="inlineStr">
        <is>
          <t>RASTREL #montar tejado</t>
        </is>
      </c>
      <c r="E465" s="6" t="inlineStr">
        <is>
          <t>MADERAS RIO SEGURA ALQUILERES SL</t>
        </is>
      </c>
      <c r="F465" s="6" t="inlineStr">
        <is>
          <t>IMPUTADO</t>
        </is>
      </c>
      <c r="G465" s="4" t="n">
        <v>248.4</v>
      </c>
    </row>
    <row r="466">
      <c r="A466" s="6" t="inlineStr">
        <is>
          <t>26003 - BARINAS</t>
        </is>
      </c>
      <c r="B466" s="6" t="inlineStr">
        <is>
          <t>B-26/0000340</t>
        </is>
      </c>
      <c r="C466" s="6" t="inlineStr">
        <is>
          <t>02/03/2026</t>
        </is>
      </c>
      <c r="D466" s="6" t="inlineStr">
        <is>
          <t>MATERIAL OBRA</t>
        </is>
      </c>
      <c r="E466" s="6" t="inlineStr">
        <is>
          <t>CONSYDECOR SL</t>
        </is>
      </c>
      <c r="F466" s="6" t="inlineStr">
        <is>
          <t>IMPUTADO</t>
        </is>
      </c>
      <c r="G466" s="4" t="n">
        <v>156.36</v>
      </c>
    </row>
    <row r="467">
      <c r="A467" s="6" t="inlineStr">
        <is>
          <t>26003 - BARINAS</t>
        </is>
      </c>
      <c r="B467" s="6" t="inlineStr">
        <is>
          <t>CTD/26 00039</t>
        </is>
      </c>
      <c r="C467" s="6" t="inlineStr">
        <is>
          <t>02/03/2026</t>
        </is>
      </c>
      <c r="D467" s="6" t="inlineStr">
        <is>
          <t>TABLONES TEJADO</t>
        </is>
      </c>
      <c r="E467" s="6" t="inlineStr">
        <is>
          <t>MADERAS RIO SEGURA ALQUILERES SL</t>
        </is>
      </c>
      <c r="F467" s="6" t="inlineStr">
        <is>
          <t>IMPUTADO</t>
        </is>
      </c>
      <c r="G467" s="4" t="n">
        <v>127.8</v>
      </c>
    </row>
    <row r="468">
      <c r="A468" s="6" t="inlineStr">
        <is>
          <t>26003 - BARINAS</t>
        </is>
      </c>
      <c r="B468" s="6" t="inlineStr">
        <is>
          <t>062-0003-162313</t>
        </is>
      </c>
      <c r="C468" s="6" t="inlineStr">
        <is>
          <t>31/03/2026</t>
        </is>
      </c>
      <c r="D468" s="6" t="inlineStr">
        <is>
          <t>COLA TABLERO</t>
        </is>
      </c>
      <c r="E468" s="6" t="inlineStr">
        <is>
          <t>LEROY MERLIN ESPAÑA SL</t>
        </is>
      </c>
      <c r="F468" s="6" t="inlineStr">
        <is>
          <t>IMPUTADO</t>
        </is>
      </c>
      <c r="G468" s="4" t="n">
        <v>84.3</v>
      </c>
    </row>
    <row r="469">
      <c r="A469" s="6" t="inlineStr">
        <is>
          <t>26003 - BARINAS</t>
        </is>
      </c>
      <c r="B469" s="6" t="inlineStr">
        <is>
          <t>CTD/26 000068</t>
        </is>
      </c>
      <c r="C469" s="6" t="inlineStr">
        <is>
          <t>10/04/2026</t>
        </is>
      </c>
      <c r="D469" s="6" t="inlineStr">
        <is>
          <t>RASTREL #montaje tejado</t>
        </is>
      </c>
      <c r="E469" s="6" t="inlineStr">
        <is>
          <t>MADERAS RIO SEGURA ALQUILERES SL</t>
        </is>
      </c>
      <c r="F469" s="6" t="inlineStr">
        <is>
          <t>IMPUTADO</t>
        </is>
      </c>
      <c r="G469" s="4" t="n">
        <v>49.68</v>
      </c>
    </row>
    <row r="470">
      <c r="A470" s="6" t="inlineStr">
        <is>
          <t>26003 - BARINAS</t>
        </is>
      </c>
      <c r="B470" s="6" t="inlineStr">
        <is>
          <t>105-0003-329641</t>
        </is>
      </c>
      <c r="C470" s="6" t="inlineStr">
        <is>
          <t>25/03/2026</t>
        </is>
      </c>
      <c r="D470" s="6" t="inlineStr">
        <is>
          <t>MATERIAL OBRA</t>
        </is>
      </c>
      <c r="E470" s="6" t="inlineStr">
        <is>
          <t>LEROY MERLIN ESPAÑA SL</t>
        </is>
      </c>
      <c r="F470" s="6" t="inlineStr">
        <is>
          <t>IMPUTADO</t>
        </is>
      </c>
      <c r="G470" s="4" t="n">
        <v>36.69</v>
      </c>
    </row>
    <row r="471">
      <c r="A471" s="6" t="inlineStr">
        <is>
          <t>26003 - BARINAS</t>
        </is>
      </c>
      <c r="B471" s="6" t="inlineStr">
        <is>
          <t>062-0003-156440</t>
        </is>
      </c>
      <c r="C471" s="6" t="inlineStr">
        <is>
          <t>18/03/2026</t>
        </is>
      </c>
      <c r="D471" s="6" t="inlineStr">
        <is>
          <t>MATERIAL OBRA</t>
        </is>
      </c>
      <c r="E471" s="6" t="inlineStr">
        <is>
          <t>LEROY MERLIN ESPAÑA SL</t>
        </is>
      </c>
      <c r="F471" s="6" t="inlineStr">
        <is>
          <t>IMPUTADO</t>
        </is>
      </c>
      <c r="G471" s="4" t="n">
        <v>34.73</v>
      </c>
    </row>
    <row r="472">
      <c r="A472" s="6" t="inlineStr">
        <is>
          <t>26003 - BARINAS</t>
        </is>
      </c>
      <c r="B472" s="6" t="inlineStr">
        <is>
          <t>A20260268</t>
        </is>
      </c>
      <c r="C472" s="6" t="inlineStr">
        <is>
          <t>09/04/2026</t>
        </is>
      </c>
      <c r="D472" s="6" t="inlineStr">
        <is>
          <t>TORNILLERIA #montar tejado</t>
        </is>
      </c>
      <c r="E472" s="6" t="inlineStr">
        <is>
          <t>ESTABLECIMIENTOS DEMETRIO SL</t>
        </is>
      </c>
      <c r="F472" s="6" t="inlineStr">
        <is>
          <t>IMPUTADO</t>
        </is>
      </c>
      <c r="G472" s="4" t="n">
        <v>25.14</v>
      </c>
    </row>
    <row r="473">
      <c r="A473" s="6" t="inlineStr">
        <is>
          <t>26006 - OBRA PADRE TRINI</t>
        </is>
      </c>
      <c r="B473" s="6" t="inlineStr">
        <is>
          <t>602-003-153052</t>
        </is>
      </c>
      <c r="C473" s="6" t="inlineStr">
        <is>
          <t>11/03/2026</t>
        </is>
      </c>
      <c r="D473" s="6" t="inlineStr">
        <is>
          <t>PLATO ROCA</t>
        </is>
      </c>
      <c r="E473" s="6" t="inlineStr">
        <is>
          <t>LEROY MERLIN ESPAÑA SL</t>
        </is>
      </c>
      <c r="F473" s="6" t="inlineStr">
        <is>
          <t>IMPUTADO</t>
        </is>
      </c>
      <c r="G473" s="4" t="n">
        <v>263.39</v>
      </c>
    </row>
    <row r="474">
      <c r="A474" s="6" t="inlineStr">
        <is>
          <t>26006 - OBRA PADRE TRINI</t>
        </is>
      </c>
      <c r="B474" s="6" t="inlineStr">
        <is>
          <t>105-0003-327844</t>
        </is>
      </c>
      <c r="C474" s="6" t="inlineStr">
        <is>
          <t>12/03/2026</t>
        </is>
      </c>
      <c r="D474" s="6" t="inlineStr">
        <is>
          <t>MATERIALES</t>
        </is>
      </c>
      <c r="E474" s="6" t="inlineStr">
        <is>
          <t>LEROY MERLIN ESPAÑA SL</t>
        </is>
      </c>
      <c r="F474" s="6" t="inlineStr">
        <is>
          <t>IMPUTADO</t>
        </is>
      </c>
      <c r="G474" s="4" t="n">
        <v>15.83</v>
      </c>
    </row>
    <row r="475">
      <c r="A475" s="6" t="inlineStr">
        <is>
          <t>26006 - OBRA PADRE TRINI</t>
        </is>
      </c>
      <c r="B475" s="6" t="inlineStr">
        <is>
          <t>026-0003-448904</t>
        </is>
      </c>
      <c r="C475" s="6" t="inlineStr">
        <is>
          <t>11/03/2026</t>
        </is>
      </c>
      <c r="D475" s="6" t="inlineStr">
        <is>
          <t>YESO Y ARENA</t>
        </is>
      </c>
      <c r="E475" s="6" t="inlineStr">
        <is>
          <t>BRICOLAJE BRICOMAN SLU</t>
        </is>
      </c>
      <c r="F475" s="6" t="inlineStr">
        <is>
          <t>IMPUTADO</t>
        </is>
      </c>
      <c r="G475" s="4" t="n">
        <v>9.65</v>
      </c>
    </row>
    <row r="476">
      <c r="A476" s="6" t="inlineStr">
        <is>
          <t>26006 - OBRA PADRE TRINI</t>
        </is>
      </c>
      <c r="B476" s="6" t="inlineStr">
        <is>
          <t>00-000411/2026</t>
        </is>
      </c>
      <c r="C476" s="6" t="inlineStr">
        <is>
          <t>13/03/2026</t>
        </is>
      </c>
      <c r="D476" s="6" t="inlineStr">
        <is>
          <t>MORCEM COLOR</t>
        </is>
      </c>
      <c r="E476" s="6" t="inlineStr">
        <is>
          <t>MATERIALES DE CONSTRUCCION EL CARACOLES SL</t>
        </is>
      </c>
      <c r="F476" s="6" t="inlineStr">
        <is>
          <t>IMPUTADO</t>
        </is>
      </c>
      <c r="G476" s="4" t="n">
        <v>7.12</v>
      </c>
    </row>
    <row r="477">
      <c r="A477" s="6" t="inlineStr">
        <is>
          <t>26006 - OBRA PADRE TRINI</t>
        </is>
      </c>
      <c r="B477" s="6" t="inlineStr">
        <is>
          <t>062-0003-153069</t>
        </is>
      </c>
      <c r="C477" s="6" t="inlineStr">
        <is>
          <t>11/03/2026</t>
        </is>
      </c>
      <c r="D477" s="6" t="inlineStr">
        <is>
          <t>YESO BASTO</t>
        </is>
      </c>
      <c r="E477" s="6" t="inlineStr">
        <is>
          <t>LEROY MERLIN ESPAÑA SL</t>
        </is>
      </c>
      <c r="F477" s="6" t="inlineStr">
        <is>
          <t>IMPUTADO</t>
        </is>
      </c>
      <c r="G477" s="4" t="n">
        <v>2.33</v>
      </c>
    </row>
    <row r="478">
      <c r="A478" s="6" t="inlineStr">
        <is>
          <t>26007 - OBRA HELENA Y JACOBO</t>
        </is>
      </c>
      <c r="B478" s="6" t="inlineStr">
        <is>
          <t>A-26/345</t>
        </is>
      </c>
      <c r="C478" s="6" t="inlineStr">
        <is>
          <t>21/09/2026</t>
        </is>
      </c>
      <c r="D478" s="6" t="inlineStr">
        <is>
          <t>EXCAVACION Y REBAJAR SÓTANO</t>
        </is>
      </c>
      <c r="E478" s="6" t="inlineStr">
        <is>
          <t>CONTENEDORES Y EXCAVACIONES ASPE SL.</t>
        </is>
      </c>
      <c r="F478" s="6" t="inlineStr">
        <is>
          <t>IMPUTADO</t>
        </is>
      </c>
      <c r="G478" s="4" t="n">
        <v>7970</v>
      </c>
    </row>
    <row r="479">
      <c r="A479" s="6" t="inlineStr">
        <is>
          <t>26007 - OBRA HELENA Y JACOBO</t>
        </is>
      </c>
      <c r="B479" s="6" t="inlineStr">
        <is>
          <t>ASO260966</t>
        </is>
      </c>
      <c r="C479" s="6" t="inlineStr">
        <is>
          <t>30/09/2026</t>
        </is>
      </c>
      <c r="D479" s="6" t="inlineStr">
        <is>
          <t>HORMIGON HA-25-B-20-XC2 BOMBEABLE</t>
        </is>
      </c>
      <c r="E479" s="6" t="inlineStr">
        <is>
          <t>EXPRESS HORMIGONES SL.</t>
        </is>
      </c>
      <c r="F479" s="6" t="inlineStr">
        <is>
          <t>IMPUTADO</t>
        </is>
      </c>
      <c r="G479" s="4" t="n">
        <v>3801</v>
      </c>
    </row>
    <row r="480">
      <c r="A480" s="6" t="inlineStr">
        <is>
          <t>26007 - OBRA HELENA Y JACOBO</t>
        </is>
      </c>
      <c r="B480" s="6" t="inlineStr">
        <is>
          <t>26/723</t>
        </is>
      </c>
      <c r="C480" s="6" t="inlineStr">
        <is>
          <t>25/09/2026</t>
        </is>
      </c>
      <c r="D480" s="6" t="inlineStr">
        <is>
          <t>ACERO FERRALLADO</t>
        </is>
      </c>
      <c r="E480" s="6" t="inlineStr">
        <is>
          <t>FERRALLAS MONFORTE DEL CID SL.</t>
        </is>
      </c>
      <c r="F480" s="6" t="inlineStr">
        <is>
          <t>IMPUTADO</t>
        </is>
      </c>
      <c r="G480" s="4" t="n">
        <v>3691.04</v>
      </c>
    </row>
    <row r="481">
      <c r="A481" s="6" t="inlineStr">
        <is>
          <t>26007 - OBRA HELENA Y JACOBO</t>
        </is>
      </c>
      <c r="B481" s="6" t="inlineStr">
        <is>
          <t>A-26/315</t>
        </is>
      </c>
      <c r="C481" s="6" t="inlineStr">
        <is>
          <t>31/08/2026</t>
        </is>
      </c>
      <c r="D481" s="6" t="inlineStr">
        <is>
          <t>REBAJE SOLAR</t>
        </is>
      </c>
      <c r="E481" s="6" t="inlineStr">
        <is>
          <t>CONTENEDORES Y EXCAVACIONES ASPE SL.</t>
        </is>
      </c>
      <c r="F481" s="6" t="inlineStr">
        <is>
          <t>IMPUTADO</t>
        </is>
      </c>
      <c r="G481" s="4" t="n">
        <v>2270</v>
      </c>
    </row>
    <row r="482">
      <c r="A482" s="6" t="inlineStr">
        <is>
          <t>26007 - OBRA HELENA Y JACOBO</t>
        </is>
      </c>
      <c r="B482" s="6" t="inlineStr">
        <is>
          <t>G26.121</t>
        </is>
      </c>
      <c r="C482" s="6" t="inlineStr">
        <is>
          <t>30/09/2026</t>
        </is>
      </c>
      <c r="D482" s="6" t="inlineStr">
        <is>
          <t>GRUA</t>
        </is>
      </c>
      <c r="E482" s="6" t="inlineStr">
        <is>
          <t>GRUAS Y MAQUINARIA PETREL SL</t>
        </is>
      </c>
      <c r="F482" s="6" t="inlineStr">
        <is>
          <t>IMPUTADO</t>
        </is>
      </c>
      <c r="G482" s="4" t="n">
        <v>1690</v>
      </c>
    </row>
    <row r="483">
      <c r="A483" s="6" t="inlineStr">
        <is>
          <t>26007 - OBRA HELENA Y JACOBO</t>
        </is>
      </c>
      <c r="B483" s="6" t="inlineStr">
        <is>
          <t>3587</t>
        </is>
      </c>
      <c r="C483" s="6" t="inlineStr">
        <is>
          <t>28/09/2026</t>
        </is>
      </c>
      <c r="D483" s="6" t="inlineStr">
        <is>
          <t>BOMBA HORMIGON</t>
        </is>
      </c>
      <c r="E483" s="6" t="inlineStr">
        <is>
          <t>LORENZO ROMERO MORALEDA</t>
        </is>
      </c>
      <c r="F483" s="6" t="inlineStr">
        <is>
          <t>IMPUTADO</t>
        </is>
      </c>
      <c r="G483" s="4" t="n">
        <v>890</v>
      </c>
    </row>
    <row r="484">
      <c r="A484" s="6" t="inlineStr">
        <is>
          <t>26007 - OBRA HELENA Y JACOBO</t>
        </is>
      </c>
      <c r="B484" s="6" t="inlineStr">
        <is>
          <t>A-26/364</t>
        </is>
      </c>
      <c r="C484" s="6" t="inlineStr">
        <is>
          <t>30/09/2026</t>
        </is>
      </c>
      <c r="D484" s="6" t="inlineStr">
        <is>
          <t>HORAS DE GIRATORIA - RETROCARGADORA</t>
        </is>
      </c>
      <c r="E484" s="6" t="inlineStr">
        <is>
          <t>CONTENEDORES Y EXCAVACIONES ASPE SL.</t>
        </is>
      </c>
      <c r="F484" s="6" t="inlineStr">
        <is>
          <t>IMPUTADO</t>
        </is>
      </c>
      <c r="G484" s="4" t="n">
        <v>490</v>
      </c>
    </row>
    <row r="485">
      <c r="A485" s="6" t="inlineStr">
        <is>
          <t>26007 - OBRA HELENA Y JACOBO</t>
        </is>
      </c>
      <c r="B485" s="6" t="inlineStr">
        <is>
          <t>A-26/354</t>
        </is>
      </c>
      <c r="C485" s="6" t="inlineStr">
        <is>
          <t>30/09/2026</t>
        </is>
      </c>
      <c r="D485" s="6" t="inlineStr">
        <is>
          <t>HORAS DE MINI GIRATORIA</t>
        </is>
      </c>
      <c r="E485" s="6" t="inlineStr">
        <is>
          <t>CONTENEDORES Y EXCAVACIONES ASPE SL.</t>
        </is>
      </c>
      <c r="F485" s="6" t="inlineStr">
        <is>
          <t>IMPUTADO</t>
        </is>
      </c>
      <c r="G485" s="4" t="n">
        <v>240</v>
      </c>
    </row>
    <row r="486">
      <c r="A486" s="6" t="inlineStr">
        <is>
          <t>26007 - OBRA HELENA Y JACOBO</t>
        </is>
      </c>
      <c r="B486" s="6" t="inlineStr">
        <is>
          <t>INV/2026/00187</t>
        </is>
      </c>
      <c r="C486" s="6" t="inlineStr">
        <is>
          <t>16/09/2026</t>
        </is>
      </c>
      <c r="D486" s="6" t="inlineStr">
        <is>
          <t>ROLLO PLASTICO NEGRO</t>
        </is>
      </c>
      <c r="E486" s="6" t="inlineStr">
        <is>
          <t>JUAN JOSÉ MUÑOZ ROBLES</t>
        </is>
      </c>
      <c r="F486" s="6" t="inlineStr">
        <is>
          <t>IMPUTADO</t>
        </is>
      </c>
      <c r="G486" s="4" t="n">
        <v>210.6</v>
      </c>
    </row>
    <row r="487">
      <c r="A487" s="6" t="inlineStr">
        <is>
          <t>26007 - OBRA HELENA Y JACOBO</t>
        </is>
      </c>
      <c r="B487" s="6" t="inlineStr">
        <is>
          <t>026-0009-591697</t>
        </is>
      </c>
      <c r="C487" s="6" t="inlineStr">
        <is>
          <t>23/09/2026</t>
        </is>
      </c>
      <c r="D487" s="6" t="inlineStr">
        <is>
          <t>COBRE/BRIDA/PICA DE TIERRA</t>
        </is>
      </c>
      <c r="E487" s="6" t="inlineStr">
        <is>
          <t>BRICOLAJE BRICOMAN SLU</t>
        </is>
      </c>
      <c r="F487" s="6" t="inlineStr">
        <is>
          <t>IMPUTADO</t>
        </is>
      </c>
      <c r="G487" s="4" t="n">
        <v>101.4</v>
      </c>
    </row>
    <row r="488">
      <c r="A488" s="6" t="inlineStr">
        <is>
          <t>26007 - OBRA HELENA Y JACOBO</t>
        </is>
      </c>
      <c r="B488" s="6" t="inlineStr">
        <is>
          <t>A-26/0003625</t>
        </is>
      </c>
      <c r="C488" s="6" t="inlineStr">
        <is>
          <t>30/09/2026</t>
        </is>
      </c>
      <c r="D488" s="6" t="inlineStr">
        <is>
          <t>SEPARADOR/MADEJA/NIVEL RUBI/CINTA AISALNTE</t>
        </is>
      </c>
      <c r="E488" s="6" t="inlineStr">
        <is>
          <t>CONSYDECOR SL</t>
        </is>
      </c>
      <c r="F488" s="6" t="inlineStr">
        <is>
          <t>SIN IMPUTAR</t>
        </is>
      </c>
      <c r="G488" s="4" t="n">
        <v>81.79000000000001</v>
      </c>
    </row>
    <row r="489">
      <c r="A489" s="6" t="inlineStr">
        <is>
          <t>26007 - OBRA HELENA Y JACOBO</t>
        </is>
      </c>
      <c r="B489" s="6" t="inlineStr">
        <is>
          <t>2026I2000850</t>
        </is>
      </c>
      <c r="C489" s="6" t="inlineStr">
        <is>
          <t>10/09/2026</t>
        </is>
      </c>
      <c r="D489" s="6" t="inlineStr">
        <is>
          <t>CAPAZOS/GARRAFA</t>
        </is>
      </c>
      <c r="E489" s="6" t="inlineStr">
        <is>
          <t>FERRETERIA PARRA SL</t>
        </is>
      </c>
      <c r="F489" s="6" t="inlineStr">
        <is>
          <t>IMPUTADO</t>
        </is>
      </c>
      <c r="G489" s="4" t="n">
        <v>56.46</v>
      </c>
    </row>
    <row r="490">
      <c r="A490" s="6" t="inlineStr">
        <is>
          <t>26007 - OBRA HELENA Y JACOBO</t>
        </is>
      </c>
      <c r="B490" s="6" t="inlineStr">
        <is>
          <t>26/A2961</t>
        </is>
      </c>
      <c r="C490" s="6" t="inlineStr">
        <is>
          <t>30/09/2026</t>
        </is>
      </c>
      <c r="D490" s="6" t="inlineStr">
        <is>
          <t>BROCHA/LLAVE ESTRELLA</t>
        </is>
      </c>
      <c r="E490" s="6" t="inlineStr">
        <is>
          <t>SUINTRA SL</t>
        </is>
      </c>
      <c r="F490" s="6" t="inlineStr">
        <is>
          <t>IMPUTADO</t>
        </is>
      </c>
      <c r="G490" s="4" t="n">
        <v>33.69</v>
      </c>
    </row>
    <row r="491">
      <c r="A491" s="6" t="inlineStr">
        <is>
          <t>26007 - OBRA HELENA Y JACOBO</t>
        </is>
      </c>
      <c r="B491" s="6" t="inlineStr">
        <is>
          <t>031-0009-288782</t>
        </is>
      </c>
      <c r="C491" s="6" t="inlineStr">
        <is>
          <t>08/09/2026</t>
        </is>
      </c>
      <c r="D491" s="6" t="inlineStr">
        <is>
          <t>MALLA BALIZAJE</t>
        </is>
      </c>
      <c r="E491" s="6" t="inlineStr">
        <is>
          <t>BRICOLAJE BRICOMAN SLU</t>
        </is>
      </c>
      <c r="F491" s="6" t="inlineStr">
        <is>
          <t>IMPUTADO</t>
        </is>
      </c>
      <c r="G491" s="4" t="n">
        <v>15.36</v>
      </c>
    </row>
    <row r="492">
      <c r="A492" s="6" t="inlineStr">
        <is>
          <t>26008 - OBRA ALBERTO Y EVA - C/ RIO SEGURA, 4. SAN VICENTE DEL RASPEIG</t>
        </is>
      </c>
      <c r="B492" s="6" t="inlineStr">
        <is>
          <t>062-0008-242761</t>
        </is>
      </c>
      <c r="C492" s="6" t="inlineStr">
        <is>
          <t>31/08/2026</t>
        </is>
      </c>
      <c r="D492" s="6" t="inlineStr">
        <is>
          <t>PEDIDO</t>
        </is>
      </c>
      <c r="E492" s="6" t="inlineStr">
        <is>
          <t>LEROY MERLIN ESPAÑA SL</t>
        </is>
      </c>
      <c r="F492" s="6" t="inlineStr">
        <is>
          <t>IMPUTADO</t>
        </is>
      </c>
      <c r="G492" s="4" t="n">
        <v>13876.21</v>
      </c>
    </row>
    <row r="493">
      <c r="A493" s="6" t="inlineStr">
        <is>
          <t>26008 - OBRA ALBERTO Y EVA - C/ RIO SEGURA, 4. SAN VICENTE DEL RASPEIG</t>
        </is>
      </c>
      <c r="B493" s="6" t="inlineStr">
        <is>
          <t>R/9</t>
        </is>
      </c>
      <c r="C493" s="6" t="inlineStr">
        <is>
          <t>24/09/2026</t>
        </is>
      </c>
      <c r="D493" s="6" t="inlineStr">
        <is>
          <t>Impermeabilización Terraza</t>
        </is>
      </c>
      <c r="E493" s="6" t="inlineStr"/>
      <c r="F493" s="6" t="inlineStr">
        <is>
          <t>IMPUTADO</t>
        </is>
      </c>
      <c r="G493" s="4" t="n">
        <v>5870</v>
      </c>
    </row>
    <row r="494">
      <c r="A494" s="6" t="inlineStr">
        <is>
          <t>26008 - OBRA ALBERTO Y EVA - C/ RIO SEGURA, 4. SAN VICENTE DEL RASPEIG</t>
        </is>
      </c>
      <c r="B494" s="6" t="inlineStr">
        <is>
          <t>062-0009-252129</t>
        </is>
      </c>
      <c r="C494" s="6" t="inlineStr">
        <is>
          <t>18/09/2026</t>
        </is>
      </c>
      <c r="D494" s="6" t="inlineStr">
        <is>
          <t>LADRILLO/ARENA</t>
        </is>
      </c>
      <c r="E494" s="6" t="inlineStr">
        <is>
          <t>LEROY MERLIN ESPAÑA SL</t>
        </is>
      </c>
      <c r="F494" s="6" t="inlineStr">
        <is>
          <t>SIN IMPUTAR</t>
        </is>
      </c>
      <c r="G494" s="4" t="n">
        <v>696.0700000000001</v>
      </c>
    </row>
    <row r="495">
      <c r="A495" s="6" t="inlineStr">
        <is>
          <t>26008 - OBRA ALBERTO Y EVA - C/ RIO SEGURA, 4. SAN VICENTE DEL RASPEIG</t>
        </is>
      </c>
      <c r="B495" s="6" t="inlineStr">
        <is>
          <t>062-0009-243108</t>
        </is>
      </c>
      <c r="C495" s="6" t="inlineStr">
        <is>
          <t>01/09/2026</t>
        </is>
      </c>
      <c r="D495" s="6" t="inlineStr">
        <is>
          <t>PEDIDO</t>
        </is>
      </c>
      <c r="E495" s="6" t="inlineStr">
        <is>
          <t>LEROY MERLIN ESPAÑA SL</t>
        </is>
      </c>
      <c r="F495" s="6" t="inlineStr">
        <is>
          <t>IMPUTADO</t>
        </is>
      </c>
      <c r="G495" s="4" t="n">
        <v>625.65</v>
      </c>
    </row>
    <row r="496">
      <c r="A496" s="6" t="inlineStr">
        <is>
          <t>26008 - OBRA ALBERTO Y EVA - C/ RIO SEGURA, 4. SAN VICENTE DEL RASPEIG</t>
        </is>
      </c>
      <c r="B496" s="6" t="inlineStr">
        <is>
          <t>062-0010-259413</t>
        </is>
      </c>
      <c r="C496" s="6" t="inlineStr">
        <is>
          <t>02/10/2026</t>
        </is>
      </c>
      <c r="D496" s="6" t="inlineStr">
        <is>
          <t>ARENA</t>
        </is>
      </c>
      <c r="E496" s="6" t="inlineStr">
        <is>
          <t>LEROY MERLIN ESPAÑA SL</t>
        </is>
      </c>
      <c r="F496" s="6" t="inlineStr">
        <is>
          <t>SIN IMPUTAR</t>
        </is>
      </c>
      <c r="G496" s="4" t="n">
        <v>211.24</v>
      </c>
    </row>
    <row r="497">
      <c r="A497" s="6" t="inlineStr">
        <is>
          <t>26008 - OBRA ALBERTO Y EVA - C/ RIO SEGURA, 4. SAN VICENTE DEL RASPEIG</t>
        </is>
      </c>
      <c r="B497" s="6" t="inlineStr">
        <is>
          <t>FV26-024737</t>
        </is>
      </c>
      <c r="C497" s="6" t="inlineStr">
        <is>
          <t>29/09/2026</t>
        </is>
      </c>
      <c r="D497" s="6" t="inlineStr">
        <is>
          <t>ATOBA ROJA #rejillas</t>
        </is>
      </c>
      <c r="E497" s="6" t="inlineStr">
        <is>
          <t>HIJOS DE JOSE BUSQUIER SL</t>
        </is>
      </c>
      <c r="F497" s="6" t="inlineStr">
        <is>
          <t>SIN IMPUTAR</t>
        </is>
      </c>
      <c r="G497" s="4" t="n">
        <v>150.15</v>
      </c>
    </row>
    <row r="498">
      <c r="A498" s="6" t="inlineStr">
        <is>
          <t>26008 - OBRA ALBERTO Y EVA - C/ RIO SEGURA, 4. SAN VICENTE DEL RASPEIG</t>
        </is>
      </c>
      <c r="B498" s="6" t="inlineStr">
        <is>
          <t>031-0009-301057</t>
        </is>
      </c>
      <c r="C498" s="6" t="inlineStr">
        <is>
          <t>18/09/2026</t>
        </is>
      </c>
      <c r="D498" s="6" t="inlineStr">
        <is>
          <t>DETECTOR/PROYECTOR/CAPUCHON/CINTA/CLAVIJA</t>
        </is>
      </c>
      <c r="E498" s="6" t="inlineStr">
        <is>
          <t>BRICOLAJE BRICOMAN SLU</t>
        </is>
      </c>
      <c r="F498" s="6" t="inlineStr">
        <is>
          <t>SIN IMPUTAR</t>
        </is>
      </c>
      <c r="G498" s="4" t="n">
        <v>117.7</v>
      </c>
    </row>
    <row r="499">
      <c r="A499" s="6" t="inlineStr">
        <is>
          <t>26008 - OBRA ALBERTO Y EVA - C/ RIO SEGURA, 4. SAN VICENTE DEL RASPEIG</t>
        </is>
      </c>
      <c r="B499" s="6" t="inlineStr">
        <is>
          <t>FV26-022573</t>
        </is>
      </c>
      <c r="C499" s="6" t="inlineStr">
        <is>
          <t>31/08/2026</t>
        </is>
      </c>
      <c r="D499" s="6" t="inlineStr">
        <is>
          <t>BOLSA/PALETINA/TACO/RESINA</t>
        </is>
      </c>
      <c r="E499" s="6" t="inlineStr">
        <is>
          <t>HIJOS DE JOSE BUSQUIER SL</t>
        </is>
      </c>
      <c r="F499" s="6" t="inlineStr">
        <is>
          <t>SIN IMPUTAR</t>
        </is>
      </c>
      <c r="G499" s="4" t="n">
        <v>57.21</v>
      </c>
    </row>
    <row r="500">
      <c r="A500" s="6" t="inlineStr">
        <is>
          <t>26008 - OBRA ALBERTO Y EVA - C/ RIO SEGURA, 4. SAN VICENTE DEL RASPEIG</t>
        </is>
      </c>
      <c r="B500" s="6" t="inlineStr">
        <is>
          <t>F-04401540</t>
        </is>
      </c>
      <c r="C500" s="6" t="inlineStr">
        <is>
          <t>11/09/2026</t>
        </is>
      </c>
      <c r="D500" s="6" t="inlineStr">
        <is>
          <t>ANGULO/BROCA/SPRAY</t>
        </is>
      </c>
      <c r="E500" s="6" t="inlineStr">
        <is>
          <t>FERRETERIA FLORIDA SL</t>
        </is>
      </c>
      <c r="F500" s="6" t="inlineStr">
        <is>
          <t>SIN IMPUTAR</t>
        </is>
      </c>
      <c r="G500" s="4" t="n">
        <v>25.05</v>
      </c>
    </row>
    <row r="501">
      <c r="A501" s="6" t="inlineStr">
        <is>
          <t>26008 - OBRA ALBERTO Y EVA - C/ RIO SEGURA, 4. SAN VICENTE DEL RASPEIG</t>
        </is>
      </c>
      <c r="B501" s="6" t="inlineStr">
        <is>
          <t>F0018-031-53-07/0010898</t>
        </is>
      </c>
      <c r="C501" s="6" t="inlineStr">
        <is>
          <t>29/09/2026</t>
        </is>
      </c>
      <c r="D501" s="6" t="inlineStr">
        <is>
          <t>CALDERETAS</t>
        </is>
      </c>
      <c r="E501" s="6" t="inlineStr">
        <is>
          <t>BRICOLAJE BRICOMAN SLU</t>
        </is>
      </c>
      <c r="F501" s="6" t="inlineStr">
        <is>
          <t>SIN IMPUTAR</t>
        </is>
      </c>
      <c r="G501" s="4" t="n">
        <v>23.34</v>
      </c>
    </row>
    <row r="502">
      <c r="A502" s="6" t="inlineStr">
        <is>
          <t>26008 - OBRA ALBERTO Y EVA - C/ RIO SEGURA, 4. SAN VICENTE DEL RASPEIG</t>
        </is>
      </c>
      <c r="B502" s="6" t="inlineStr">
        <is>
          <t>FV26-023756</t>
        </is>
      </c>
      <c r="C502" s="6" t="inlineStr">
        <is>
          <t>17/09/2026</t>
        </is>
      </c>
      <c r="D502" s="6" t="inlineStr">
        <is>
          <t>YESO MANUAL</t>
        </is>
      </c>
      <c r="E502" s="6" t="inlineStr">
        <is>
          <t>HIJOS DE JOSE BUSQUIER SL</t>
        </is>
      </c>
      <c r="F502" s="6" t="inlineStr">
        <is>
          <t>SIN IMPUTAR</t>
        </is>
      </c>
      <c r="G502" s="4" t="n">
        <v>2.01</v>
      </c>
    </row>
    <row r="503">
      <c r="A503" s="6" t="inlineStr">
        <is>
          <t>26009 - OBRA CALLE CARTAGENA, MURCIA</t>
        </is>
      </c>
      <c r="B503" s="6" t="inlineStr">
        <is>
          <t>062-0009-252431</t>
        </is>
      </c>
      <c r="C503" s="6" t="inlineStr">
        <is>
          <t>18/09/2026</t>
        </is>
      </c>
      <c r="D503" s="6" t="inlineStr">
        <is>
          <t>PEDIDO COCINA</t>
        </is>
      </c>
      <c r="E503" s="6" t="inlineStr">
        <is>
          <t>LEROY MERLIN ESPAÑA SL</t>
        </is>
      </c>
      <c r="F503" s="6" t="inlineStr">
        <is>
          <t>SIN IMPUTAR</t>
        </is>
      </c>
      <c r="G503" s="4" t="n">
        <v>1619.41</v>
      </c>
    </row>
    <row r="504">
      <c r="A504" s="6" t="inlineStr">
        <is>
          <t>26009 - OBRA CALLE CARTAGENA, MURCIA</t>
        </is>
      </c>
      <c r="B504" s="6" t="inlineStr">
        <is>
          <t>062-0009-252130</t>
        </is>
      </c>
      <c r="C504" s="6" t="inlineStr">
        <is>
          <t>18/09/2026</t>
        </is>
      </c>
      <c r="D504" s="6" t="inlineStr">
        <is>
          <t>PUERTAS</t>
        </is>
      </c>
      <c r="E504" s="6" t="inlineStr">
        <is>
          <t>LEROY MERLIN ESPAÑA SL</t>
        </is>
      </c>
      <c r="F504" s="6" t="inlineStr">
        <is>
          <t>IMPUTADO</t>
        </is>
      </c>
      <c r="G504" s="4" t="n">
        <v>1438.78</v>
      </c>
    </row>
    <row r="505">
      <c r="A505" s="6" t="inlineStr">
        <is>
          <t>26009 - OBRA CALLE CARTAGENA, MURCIA</t>
        </is>
      </c>
      <c r="B505" s="6" t="inlineStr">
        <is>
          <t>TND/154</t>
        </is>
      </c>
      <c r="C505" s="6" t="inlineStr">
        <is>
          <t>04/09/2026</t>
        </is>
      </c>
      <c r="D505" s="6" t="inlineStr">
        <is>
          <t>PREINSTALACION AIRE ACONDICIONADO SPLIT PARED</t>
        </is>
      </c>
      <c r="E505" s="6" t="inlineStr">
        <is>
          <t>GOCLIMA FRIO Y CALOR SL</t>
        </is>
      </c>
      <c r="F505" s="6" t="inlineStr">
        <is>
          <t>IMPUTADO</t>
        </is>
      </c>
      <c r="G505" s="4" t="n">
        <v>1140</v>
      </c>
    </row>
    <row r="506">
      <c r="A506" s="6" t="inlineStr">
        <is>
          <t>26009 - OBRA CALLE CARTAGENA, MURCIA</t>
        </is>
      </c>
      <c r="B506" s="6" t="inlineStr">
        <is>
          <t>48</t>
        </is>
      </c>
      <c r="C506" s="6" t="inlineStr">
        <is>
          <t>15/07/2026</t>
        </is>
      </c>
      <c r="D506" s="6" t="inlineStr">
        <is>
          <t>ELECTRICIDAD</t>
        </is>
      </c>
      <c r="E506" s="6" t="inlineStr"/>
      <c r="F506" s="6" t="inlineStr">
        <is>
          <t>IMPUTADO</t>
        </is>
      </c>
      <c r="G506" s="4" t="n">
        <v>956.5</v>
      </c>
    </row>
    <row r="507">
      <c r="A507" s="6" t="inlineStr">
        <is>
          <t>26009 - OBRA CALLE CARTAGENA, MURCIA</t>
        </is>
      </c>
      <c r="B507" s="6" t="inlineStr">
        <is>
          <t>641758</t>
        </is>
      </c>
      <c r="C507" s="6" t="inlineStr">
        <is>
          <t>25/08/2026</t>
        </is>
      </c>
      <c r="D507" s="6" t="inlineStr">
        <is>
          <t>PRESUPUESTO 641758</t>
        </is>
      </c>
      <c r="E507" s="6" t="inlineStr">
        <is>
          <t>LEROY MERLIN ESPAÑA SL</t>
        </is>
      </c>
      <c r="F507" s="6" t="inlineStr">
        <is>
          <t>IMPUTADO</t>
        </is>
      </c>
      <c r="G507" s="4" t="n">
        <v>947.6</v>
      </c>
    </row>
    <row r="508">
      <c r="A508" s="6" t="inlineStr">
        <is>
          <t>26009 - OBRA CALLE CARTAGENA, MURCIA</t>
        </is>
      </c>
      <c r="B508" s="6" t="inlineStr">
        <is>
          <t>4026</t>
        </is>
      </c>
      <c r="C508" s="6" t="inlineStr">
        <is>
          <t>16/07/2026</t>
        </is>
      </c>
      <c r="D508" s="6" t="inlineStr">
        <is>
          <t>FONTANERÍA</t>
        </is>
      </c>
      <c r="E508" s="6" t="inlineStr">
        <is>
          <t>FONTAFIX EAR</t>
        </is>
      </c>
      <c r="F508" s="6" t="inlineStr">
        <is>
          <t>IMPUTADO</t>
        </is>
      </c>
      <c r="G508" s="4" t="n">
        <v>877.25</v>
      </c>
    </row>
    <row r="509">
      <c r="A509" s="6" t="inlineStr">
        <is>
          <t>26009 - OBRA CALLE CARTAGENA, MURCIA</t>
        </is>
      </c>
      <c r="B509" s="6" t="inlineStr">
        <is>
          <t>A-26/0003239</t>
        </is>
      </c>
      <c r="C509" s="6" t="inlineStr">
        <is>
          <t>31/08/2026</t>
        </is>
      </c>
      <c r="D509" s="6" t="inlineStr">
        <is>
          <t>MORTERO/PEGA SELLA/MORTERO/PLASTICO NEGRO/CEMENTO/TUBO/ESPATULA</t>
        </is>
      </c>
      <c r="E509" s="6" t="inlineStr">
        <is>
          <t>CONSYDECOR SL</t>
        </is>
      </c>
      <c r="F509" s="6" t="inlineStr">
        <is>
          <t>IMPUTADO</t>
        </is>
      </c>
      <c r="G509" s="4" t="n">
        <v>858.59</v>
      </c>
    </row>
    <row r="510">
      <c r="A510" s="6" t="inlineStr">
        <is>
          <t>26009 - OBRA CALLE CARTAGENA, MURCIA</t>
        </is>
      </c>
      <c r="B510" s="6" t="inlineStr">
        <is>
          <t>062-0009-252128</t>
        </is>
      </c>
      <c r="C510" s="6" t="inlineStr">
        <is>
          <t>18/09/2026</t>
        </is>
      </c>
      <c r="D510" s="6" t="inlineStr">
        <is>
          <t>PEDIDO COCINA</t>
        </is>
      </c>
      <c r="E510" s="6" t="inlineStr">
        <is>
          <t>LEROY MERLIN ESPAÑA SL</t>
        </is>
      </c>
      <c r="F510" s="6" t="inlineStr">
        <is>
          <t>SIN IMPUTAR</t>
        </is>
      </c>
      <c r="G510" s="4" t="n">
        <v>854.88</v>
      </c>
    </row>
    <row r="511">
      <c r="A511" s="6" t="inlineStr">
        <is>
          <t>26009 - OBRA CALLE CARTAGENA, MURCIA</t>
        </is>
      </c>
      <c r="B511" s="6" t="inlineStr">
        <is>
          <t>26/3729</t>
        </is>
      </c>
      <c r="C511" s="6" t="inlineStr">
        <is>
          <t>30/09/2026</t>
        </is>
      </c>
      <c r="D511" s="6" t="inlineStr">
        <is>
          <t>MATERIAL</t>
        </is>
      </c>
      <c r="E511" s="6" t="inlineStr">
        <is>
          <t>SANZ BUILDING 2000 SL</t>
        </is>
      </c>
      <c r="F511" s="6" t="inlineStr">
        <is>
          <t>SIN IMPUTAR</t>
        </is>
      </c>
      <c r="G511" s="4" t="n">
        <v>650.61</v>
      </c>
    </row>
    <row r="512">
      <c r="A512" s="6" t="inlineStr">
        <is>
          <t>26009 - OBRA CALLE CARTAGENA, MURCIA</t>
        </is>
      </c>
      <c r="B512" s="6" t="inlineStr">
        <is>
          <t>A-26/0003408</t>
        </is>
      </c>
      <c r="C512" s="6" t="inlineStr">
        <is>
          <t>15/09/2026</t>
        </is>
      </c>
      <c r="D512" s="6" t="inlineStr">
        <is>
          <t>PLATO DUCHA/PASTA/PISTOLA/CEMENTO</t>
        </is>
      </c>
      <c r="E512" s="6" t="inlineStr">
        <is>
          <t>CONSYDECOR SL</t>
        </is>
      </c>
      <c r="F512" s="6" t="inlineStr">
        <is>
          <t>IMPUTADO</t>
        </is>
      </c>
      <c r="G512" s="4" t="n">
        <v>554.98</v>
      </c>
    </row>
    <row r="513">
      <c r="A513" s="6" t="inlineStr">
        <is>
          <t>26009 - OBRA CALLE CARTAGENA, MURCIA</t>
        </is>
      </c>
      <c r="B513" s="6" t="inlineStr">
        <is>
          <t>041-0009-004525</t>
        </is>
      </c>
      <c r="C513" s="6" t="inlineStr">
        <is>
          <t>25/09/2026</t>
        </is>
      </c>
      <c r="D513" s="6" t="inlineStr">
        <is>
          <t>PLADUR</t>
        </is>
      </c>
      <c r="E513" s="6" t="inlineStr">
        <is>
          <t>LEROY MERLIN ESPAÑA SL</t>
        </is>
      </c>
      <c r="F513" s="6" t="inlineStr">
        <is>
          <t>IMPUTADO</t>
        </is>
      </c>
      <c r="G513" s="4" t="n">
        <v>430.77</v>
      </c>
    </row>
    <row r="514">
      <c r="A514" s="6" t="inlineStr">
        <is>
          <t>26009 - OBRA CALLE CARTAGENA, MURCIA</t>
        </is>
      </c>
      <c r="B514" s="6" t="inlineStr">
        <is>
          <t>26/4745</t>
        </is>
      </c>
      <c r="C514" s="6" t="inlineStr">
        <is>
          <t>31/08/2026</t>
        </is>
      </c>
      <c r="D514" s="6" t="inlineStr">
        <is>
          <t>CONTENEDORES</t>
        </is>
      </c>
      <c r="E514" s="6" t="inlineStr">
        <is>
          <t>CONTENEDORES REUNIDOS SL</t>
        </is>
      </c>
      <c r="F514" s="6" t="inlineStr">
        <is>
          <t>IMPUTADO</t>
        </is>
      </c>
      <c r="G514" s="4" t="n">
        <v>290</v>
      </c>
    </row>
    <row r="515">
      <c r="A515" s="6" t="inlineStr">
        <is>
          <t>26009 - OBRA CALLE CARTAGENA, MURCIA</t>
        </is>
      </c>
      <c r="B515" s="6" t="inlineStr">
        <is>
          <t>26/3572</t>
        </is>
      </c>
      <c r="C515" s="6" t="inlineStr">
        <is>
          <t>15/09/2026</t>
        </is>
      </c>
      <c r="D515" s="6" t="inlineStr">
        <is>
          <t>PINTURA</t>
        </is>
      </c>
      <c r="E515" s="6" t="inlineStr">
        <is>
          <t>SANZ BUILDING 2000 SL</t>
        </is>
      </c>
      <c r="F515" s="6" t="inlineStr">
        <is>
          <t>IMPUTADO</t>
        </is>
      </c>
      <c r="G515" s="4" t="n">
        <v>211.3</v>
      </c>
    </row>
    <row r="516">
      <c r="A516" s="6" t="inlineStr">
        <is>
          <t>26009 - OBRA CALLE CARTAGENA, MURCIA</t>
        </is>
      </c>
      <c r="B516" s="6" t="inlineStr">
        <is>
          <t>026-0008-574780</t>
        </is>
      </c>
      <c r="C516" s="6" t="inlineStr">
        <is>
          <t>26/08/2026</t>
        </is>
      </c>
      <c r="D516" s="6" t="inlineStr">
        <is>
          <t>CEMENTO/PASTA AGARRE/ARENA/YESO/MORTERO HIDROFUGO</t>
        </is>
      </c>
      <c r="E516" s="6" t="inlineStr">
        <is>
          <t>BRICOLAJE BRICOMAN SLU</t>
        </is>
      </c>
      <c r="F516" s="6" t="inlineStr">
        <is>
          <t>SIN IMPUTAR</t>
        </is>
      </c>
      <c r="G516" s="4" t="n">
        <v>188.96</v>
      </c>
    </row>
    <row r="517">
      <c r="A517" s="6" t="inlineStr">
        <is>
          <t>26009 - OBRA CALLE CARTAGENA, MURCIA</t>
        </is>
      </c>
      <c r="B517" s="6" t="inlineStr">
        <is>
          <t>026-0009-579169</t>
        </is>
      </c>
      <c r="C517" s="6" t="inlineStr">
        <is>
          <t>02/09/2026</t>
        </is>
      </c>
      <c r="D517" s="6" t="inlineStr">
        <is>
          <t>PASTA JUNTA/TRAMPILLA/CINTA YESO/CEPILLO</t>
        </is>
      </c>
      <c r="E517" s="6" t="inlineStr">
        <is>
          <t>BRICOLAJE BRICOMAN SLU</t>
        </is>
      </c>
      <c r="F517" s="6" t="inlineStr">
        <is>
          <t>SIN IMPUTAR</t>
        </is>
      </c>
      <c r="G517" s="4" t="n">
        <v>157.36</v>
      </c>
    </row>
    <row r="518">
      <c r="A518" s="6" t="inlineStr">
        <is>
          <t>26009 - OBRA CALLE CARTAGENA, MURCIA</t>
        </is>
      </c>
      <c r="B518" s="6" t="inlineStr">
        <is>
          <t>26/5353</t>
        </is>
      </c>
      <c r="C518" s="6" t="inlineStr">
        <is>
          <t>30/09/2026</t>
        </is>
      </c>
      <c r="D518" s="6" t="inlineStr">
        <is>
          <t>CONTENEDORES</t>
        </is>
      </c>
      <c r="E518" s="6" t="inlineStr">
        <is>
          <t>CONTENEDORES REUNIDOS SL</t>
        </is>
      </c>
      <c r="F518" s="6" t="inlineStr">
        <is>
          <t>SIN IMPUTAR</t>
        </is>
      </c>
      <c r="G518" s="4" t="n">
        <v>145</v>
      </c>
    </row>
    <row r="519">
      <c r="A519" s="6" t="inlineStr">
        <is>
          <t>26009 - OBRA CALLE CARTAGENA, MURCIA</t>
        </is>
      </c>
      <c r="B519" s="6" t="inlineStr">
        <is>
          <t>062-0009-246220</t>
        </is>
      </c>
      <c r="C519" s="6" t="inlineStr">
        <is>
          <t>07/09/2026</t>
        </is>
      </c>
      <c r="D519" s="6" t="inlineStr">
        <is>
          <t>CINTA/CANAL/MONTANTE/PASTA</t>
        </is>
      </c>
      <c r="E519" s="6" t="inlineStr">
        <is>
          <t>LEROY MERLIN ESPAÑA SL</t>
        </is>
      </c>
      <c r="F519" s="6" t="inlineStr">
        <is>
          <t>IMPUTADO</t>
        </is>
      </c>
      <c r="G519" s="4" t="n">
        <v>86.81</v>
      </c>
    </row>
    <row r="520">
      <c r="A520" s="6" t="inlineStr">
        <is>
          <t>26009 - OBRA CALLE CARTAGENA, MURCIA</t>
        </is>
      </c>
      <c r="B520" s="6" t="inlineStr">
        <is>
          <t>026-0009-584095</t>
        </is>
      </c>
      <c r="C520" s="6" t="inlineStr">
        <is>
          <t>10/09/2026</t>
        </is>
      </c>
      <c r="D520" s="6" t="inlineStr">
        <is>
          <t>MORTERO/ARENA/TRAMPILLA/GECOL</t>
        </is>
      </c>
      <c r="E520" s="6" t="inlineStr">
        <is>
          <t>BRICOLAJE BRICOMAN SLU</t>
        </is>
      </c>
      <c r="F520" s="6" t="inlineStr">
        <is>
          <t>IMPUTADO</t>
        </is>
      </c>
      <c r="G520" s="4" t="n">
        <v>66.20999999999999</v>
      </c>
    </row>
    <row r="521">
      <c r="A521" s="6" t="inlineStr">
        <is>
          <t>26009 - OBRA CALLE CARTAGENA, MURCIA</t>
        </is>
      </c>
      <c r="B521" s="6" t="inlineStr">
        <is>
          <t>F0018-026-51-07/0014627</t>
        </is>
      </c>
      <c r="C521" s="6" t="inlineStr">
        <is>
          <t>26/08/2026</t>
        </is>
      </c>
      <c r="D521" s="6" t="inlineStr">
        <is>
          <t>DISCO CORTE/GUANTE/ZAPATO/PALETINA</t>
        </is>
      </c>
      <c r="E521" s="6" t="inlineStr">
        <is>
          <t>BRICOLAJE BRICOMAN SLU</t>
        </is>
      </c>
      <c r="F521" s="6" t="inlineStr">
        <is>
          <t>IMPUTADO</t>
        </is>
      </c>
      <c r="G521" s="4" t="n">
        <v>45.03</v>
      </c>
    </row>
    <row r="522">
      <c r="A522" s="6" t="inlineStr">
        <is>
          <t>26009 - OBRA CALLE CARTAGENA, MURCIA</t>
        </is>
      </c>
      <c r="B522" s="6" t="inlineStr">
        <is>
          <t>062-0009-246244</t>
        </is>
      </c>
      <c r="C522" s="6" t="inlineStr">
        <is>
          <t>07/09/2026</t>
        </is>
      </c>
      <c r="D522" s="6" t="inlineStr">
        <is>
          <t>MASCARILLA/MASILLA/RODILLO/CUBETA</t>
        </is>
      </c>
      <c r="E522" s="6" t="inlineStr">
        <is>
          <t>LEROY MERLIN ESPAÑA SL</t>
        </is>
      </c>
      <c r="F522" s="6" t="inlineStr">
        <is>
          <t>IMPUTADO</t>
        </is>
      </c>
      <c r="G522" s="4" t="n">
        <v>43.25</v>
      </c>
    </row>
    <row r="523">
      <c r="A523" s="6" t="inlineStr">
        <is>
          <t>26009 - OBRA CALLE CARTAGENA, MURCIA</t>
        </is>
      </c>
      <c r="B523" s="6" t="inlineStr">
        <is>
          <t>F0018-026-51-07/0015088</t>
        </is>
      </c>
      <c r="C523" s="6" t="inlineStr">
        <is>
          <t>02/09/2026</t>
        </is>
      </c>
      <c r="D523" s="6" t="inlineStr">
        <is>
          <t>PEINE/PLIEGO LIJA/VARILLA</t>
        </is>
      </c>
      <c r="E523" s="6" t="inlineStr">
        <is>
          <t>BRICOLAJE BRICOMAN SLU</t>
        </is>
      </c>
      <c r="F523" s="6" t="inlineStr">
        <is>
          <t>IMPUTADO</t>
        </is>
      </c>
      <c r="G523" s="4" t="n">
        <v>38.6</v>
      </c>
    </row>
    <row r="524">
      <c r="A524" s="6" t="inlineStr">
        <is>
          <t>26009 - OBRA CALLE CARTAGENA, MURCIA</t>
        </is>
      </c>
      <c r="B524" s="6" t="inlineStr">
        <is>
          <t>4391</t>
        </is>
      </c>
      <c r="C524" s="6" t="inlineStr">
        <is>
          <t>10/09/2026</t>
        </is>
      </c>
      <c r="D524" s="6" t="inlineStr">
        <is>
          <t>RHYNOGRIP</t>
        </is>
      </c>
      <c r="E524" s="6" t="inlineStr">
        <is>
          <t>DECOBRIC SANZ SL</t>
        </is>
      </c>
      <c r="F524" s="6" t="inlineStr">
        <is>
          <t>IMPUTADO</t>
        </is>
      </c>
      <c r="G524" s="4" t="n">
        <v>35.7</v>
      </c>
    </row>
    <row r="525">
      <c r="A525" s="6" t="inlineStr">
        <is>
          <t>26009 - OBRA CALLE CARTAGENA, MURCIA</t>
        </is>
      </c>
      <c r="B525" s="6" t="inlineStr">
        <is>
          <t>FSIM 1 2026/019412</t>
        </is>
      </c>
      <c r="C525" s="6" t="inlineStr">
        <is>
          <t>14/09/2026</t>
        </is>
      </c>
      <c r="D525" s="6" t="inlineStr">
        <is>
          <t>CEYS MS-TECH TRANSPARENTE</t>
        </is>
      </c>
      <c r="E525" s="6" t="inlineStr">
        <is>
          <t>FERRETERIA-VISTA ALEGRE SL</t>
        </is>
      </c>
      <c r="F525" s="6" t="inlineStr">
        <is>
          <t>SIN IMPUTAR</t>
        </is>
      </c>
      <c r="G525" s="4" t="n">
        <v>29.13</v>
      </c>
    </row>
    <row r="526">
      <c r="A526" s="6" t="inlineStr">
        <is>
          <t>26009 - OBRA CALLE CARTAGENA, MURCIA</t>
        </is>
      </c>
      <c r="B526" s="6" t="inlineStr">
        <is>
          <t>041-0009-000837</t>
        </is>
      </c>
      <c r="C526" s="6" t="inlineStr">
        <is>
          <t>07/09/2026</t>
        </is>
      </c>
      <c r="D526" s="6" t="inlineStr">
        <is>
          <t>MORTERO JUNTA AXTON</t>
        </is>
      </c>
      <c r="E526" s="6" t="inlineStr">
        <is>
          <t>LEROY MERLIN ESPAÑA SL</t>
        </is>
      </c>
      <c r="F526" s="6" t="inlineStr">
        <is>
          <t>IMPUTADO</t>
        </is>
      </c>
      <c r="G526" s="4" t="n">
        <v>24.77</v>
      </c>
    </row>
    <row r="527">
      <c r="A527" s="6" t="inlineStr">
        <is>
          <t>26009 - OBRA CALLE CARTAGENA, MURCIA</t>
        </is>
      </c>
      <c r="B527" s="6" t="inlineStr">
        <is>
          <t>105-000935476</t>
        </is>
      </c>
      <c r="C527" s="6" t="inlineStr">
        <is>
          <t>29/09/2026</t>
        </is>
      </c>
      <c r="D527" s="6" t="inlineStr">
        <is>
          <t>PREMARCO UNIVERSAL</t>
        </is>
      </c>
      <c r="E527" s="6" t="inlineStr">
        <is>
          <t>LEROY MERLIN ESPAÑA SL</t>
        </is>
      </c>
      <c r="F527" s="6" t="inlineStr">
        <is>
          <t>IMPUTADO</t>
        </is>
      </c>
      <c r="G527" s="4" t="n">
        <v>21.78</v>
      </c>
    </row>
    <row r="528">
      <c r="A528" s="6" t="inlineStr">
        <is>
          <t>26009 - OBRA CALLE CARTAGENA, MURCIA</t>
        </is>
      </c>
      <c r="B528" s="6" t="inlineStr">
        <is>
          <t>F0018-026-52-07/0014366</t>
        </is>
      </c>
      <c r="C528" s="6" t="inlineStr">
        <is>
          <t>10/09/2026</t>
        </is>
      </c>
      <c r="D528" s="6" t="inlineStr">
        <is>
          <t>BERMUDA/CALDERETA</t>
        </is>
      </c>
      <c r="E528" s="6" t="inlineStr">
        <is>
          <t>BRICOLAJE BRICOMAN SLU</t>
        </is>
      </c>
      <c r="F528" s="6" t="inlineStr">
        <is>
          <t>IMPUTADO</t>
        </is>
      </c>
      <c r="G528" s="4" t="n">
        <v>21.2</v>
      </c>
    </row>
    <row r="529">
      <c r="A529" s="6" t="inlineStr">
        <is>
          <t>26009 - OBRA CALLE CARTAGENA, MURCIA</t>
        </is>
      </c>
      <c r="B529" s="6" t="inlineStr">
        <is>
          <t>026-0008-574800</t>
        </is>
      </c>
      <c r="C529" s="6" t="inlineStr">
        <is>
          <t>26/08/2026</t>
        </is>
      </c>
      <c r="D529" s="6" t="inlineStr">
        <is>
          <t>IMPRIMACION PUENTE UNION</t>
        </is>
      </c>
      <c r="E529" s="6" t="inlineStr">
        <is>
          <t>BRICOLAJE BRICOMAN SLU</t>
        </is>
      </c>
      <c r="F529" s="6" t="inlineStr">
        <is>
          <t>SIN IMPUTAR</t>
        </is>
      </c>
      <c r="G529" s="4" t="n">
        <v>21.03</v>
      </c>
    </row>
    <row r="530">
      <c r="A530" s="6" t="inlineStr">
        <is>
          <t>26009 - OBRA CALLE CARTAGENA, MURCIA</t>
        </is>
      </c>
      <c r="B530" s="6" t="inlineStr">
        <is>
          <t>062-0009-258095</t>
        </is>
      </c>
      <c r="C530" s="6" t="inlineStr">
        <is>
          <t>30/09/2026</t>
        </is>
      </c>
      <c r="D530" s="6" t="inlineStr">
        <is>
          <t>PACK VIERTEAGUAS STONE</t>
        </is>
      </c>
      <c r="E530" s="6" t="inlineStr">
        <is>
          <t>LEROY MERLIN ESPAÑA SL</t>
        </is>
      </c>
      <c r="F530" s="6" t="inlineStr">
        <is>
          <t>SIN IMPUTAR</t>
        </is>
      </c>
      <c r="G530" s="4" t="n">
        <v>19.81</v>
      </c>
    </row>
    <row r="531">
      <c r="A531" s="6" t="inlineStr">
        <is>
          <t>26009 - OBRA CALLE CARTAGENA, MURCIA</t>
        </is>
      </c>
      <c r="B531" s="6" t="inlineStr">
        <is>
          <t>041-0009-004527</t>
        </is>
      </c>
      <c r="C531" s="6" t="inlineStr">
        <is>
          <t>25/09/2026</t>
        </is>
      </c>
      <c r="D531" s="6" t="inlineStr">
        <is>
          <t>BOLSAS JARDIN/PISTOLA ESPUMA/LIMPIADOR</t>
        </is>
      </c>
      <c r="E531" s="6" t="inlineStr">
        <is>
          <t>LEROY MERLIN ESPAÑA SL</t>
        </is>
      </c>
      <c r="F531" s="6" t="inlineStr">
        <is>
          <t>IMPUTADO</t>
        </is>
      </c>
      <c r="G531" s="4" t="n">
        <v>13.53</v>
      </c>
    </row>
    <row r="532">
      <c r="A532" s="6" t="inlineStr">
        <is>
          <t>26009 - OBRA CALLE CARTAGENA, MURCIA</t>
        </is>
      </c>
      <c r="B532" s="6" t="inlineStr">
        <is>
          <t>026-0008-576011</t>
        </is>
      </c>
      <c r="C532" s="6" t="inlineStr">
        <is>
          <t>28/08/2026</t>
        </is>
      </c>
      <c r="D532" s="6" t="inlineStr">
        <is>
          <t>ESPONJA/HIDROTUBO/TAPON/CODO/ADEHESIVO</t>
        </is>
      </c>
      <c r="E532" s="6" t="inlineStr">
        <is>
          <t>BRICOLAJE BRICOMAN SLU</t>
        </is>
      </c>
      <c r="F532" s="6" t="inlineStr">
        <is>
          <t>SIN IMPUTAR</t>
        </is>
      </c>
      <c r="G532" s="4" t="n">
        <v>7.16</v>
      </c>
    </row>
    <row r="533">
      <c r="A533" s="6" t="inlineStr">
        <is>
          <t>26009 - OBRA CALLE CARTAGENA, MURCIA</t>
        </is>
      </c>
      <c r="B533" s="6" t="inlineStr">
        <is>
          <t>062-0009-258102</t>
        </is>
      </c>
      <c r="C533" s="6" t="inlineStr">
        <is>
          <t>30/09/2026</t>
        </is>
      </c>
      <c r="D533" s="6" t="inlineStr">
        <is>
          <t>PAV NEW SONEJA 33X33</t>
        </is>
      </c>
      <c r="E533" s="6" t="inlineStr">
        <is>
          <t>LEROY MERLIN ESPAÑA SL</t>
        </is>
      </c>
      <c r="F533" s="6" t="inlineStr">
        <is>
          <t>SIN IMPUTAR</t>
        </is>
      </c>
      <c r="G533" s="4" t="n">
        <v>6.17</v>
      </c>
    </row>
    <row r="534">
      <c r="A534" s="6" t="inlineStr">
        <is>
          <t>26009 - OBRA CALLE CARTAGENA, MURCIA</t>
        </is>
      </c>
      <c r="B534" s="6" t="inlineStr">
        <is>
          <t>041-0009-004541</t>
        </is>
      </c>
      <c r="C534" s="6" t="inlineStr">
        <is>
          <t>25/09/2026</t>
        </is>
      </c>
      <c r="D534" s="6" t="inlineStr">
        <is>
          <t>PLADUR</t>
        </is>
      </c>
      <c r="E534" s="6" t="inlineStr">
        <is>
          <t>LEROY MERLIN ESPAÑA SL</t>
        </is>
      </c>
      <c r="F534" s="6" t="inlineStr">
        <is>
          <t>IMPUTADO</t>
        </is>
      </c>
      <c r="G534" s="4" t="n">
        <v>4.38</v>
      </c>
    </row>
    <row r="535">
      <c r="A535" s="6" t="inlineStr">
        <is>
          <t>26010 - PROYECTO 4 BASCULAS EN SILOS - Paraje de los Rincones S,N - Poligono 3, parcelas 94 y 113 - Algueña (Alicante)</t>
        </is>
      </c>
      <c r="B535" s="6" t="inlineStr">
        <is>
          <t>F2641339</t>
        </is>
      </c>
      <c r="C535" s="6" t="inlineStr">
        <is>
          <t>23/07/2026</t>
        </is>
      </c>
      <c r="D535" s="6" t="inlineStr">
        <is>
          <t>SUSCRIPCION NALANDA - GESTION DOCUMENTACION</t>
        </is>
      </c>
      <c r="E535" s="6" t="inlineStr">
        <is>
          <t>NALANDA GLOBAL SA.</t>
        </is>
      </c>
      <c r="F535" s="6" t="inlineStr">
        <is>
          <t>IMPUTADO</t>
        </is>
      </c>
      <c r="G535" s="4" t="n">
        <v>420</v>
      </c>
    </row>
    <row r="536">
      <c r="A536" s="6" t="inlineStr">
        <is>
          <t>26011 - CASTILLO DE ELDA</t>
        </is>
      </c>
      <c r="B536" s="6" t="inlineStr">
        <is>
          <t>26/566</t>
        </is>
      </c>
      <c r="C536" s="6" t="inlineStr">
        <is>
          <t>17/07/2026</t>
        </is>
      </c>
      <c r="D536" s="6" t="inlineStr">
        <is>
          <t>HIERRO CIMENTACION Y MUROS</t>
        </is>
      </c>
      <c r="E536" s="6" t="inlineStr">
        <is>
          <t>FERRALLAS MONFORTE DEL CID SL.</t>
        </is>
      </c>
      <c r="F536" s="6" t="inlineStr">
        <is>
          <t>IMPUTADO</t>
        </is>
      </c>
      <c r="G536" s="4" t="n">
        <v>2433.16</v>
      </c>
    </row>
    <row r="537">
      <c r="A537" s="6" t="inlineStr">
        <is>
          <t>26011 - CASTILLO DE ELDA</t>
        </is>
      </c>
      <c r="B537" s="6" t="inlineStr">
        <is>
          <t>H-26-003731</t>
        </is>
      </c>
      <c r="C537" s="6" t="inlineStr">
        <is>
          <t>31/07/2026</t>
        </is>
      </c>
      <c r="D537" s="6" t="inlineStr">
        <is>
          <t>HORMIGON</t>
        </is>
      </c>
      <c r="E537" s="6" t="inlineStr">
        <is>
          <t>HORMIGONES DEL VINALOPO SA</t>
        </is>
      </c>
      <c r="F537" s="6" t="inlineStr">
        <is>
          <t>IMPUTADO</t>
        </is>
      </c>
      <c r="G537" s="4" t="n">
        <v>2401.76</v>
      </c>
    </row>
    <row r="538">
      <c r="A538" s="6" t="inlineStr">
        <is>
          <t>26011 - CASTILLO DE ELDA</t>
        </is>
      </c>
      <c r="B538" s="6" t="inlineStr">
        <is>
          <t>26/652</t>
        </is>
      </c>
      <c r="C538" s="6" t="inlineStr">
        <is>
          <t>04/09/2026</t>
        </is>
      </c>
      <c r="D538" s="6" t="inlineStr">
        <is>
          <t>FERRALLA/HIERRO</t>
        </is>
      </c>
      <c r="E538" s="6" t="inlineStr">
        <is>
          <t>FERRALLAS MONFORTE DEL CID SL.</t>
        </is>
      </c>
      <c r="F538" s="6" t="inlineStr">
        <is>
          <t>IMPUTADO</t>
        </is>
      </c>
      <c r="G538" s="4" t="n">
        <v>1680.28</v>
      </c>
    </row>
    <row r="539">
      <c r="A539" s="6" t="inlineStr">
        <is>
          <t>26011 - CASTILLO DE ELDA</t>
        </is>
      </c>
      <c r="B539" s="6" t="inlineStr">
        <is>
          <t>S/92</t>
        </is>
      </c>
      <c r="C539" s="6" t="inlineStr">
        <is>
          <t>21/07/2026</t>
        </is>
      </c>
      <c r="D539" s="6" t="inlineStr">
        <is>
          <t>HORMIGÓN CIMENTACION</t>
        </is>
      </c>
      <c r="E539" s="6" t="inlineStr">
        <is>
          <t>SEBASTIAN NAVARRO SL</t>
        </is>
      </c>
      <c r="F539" s="6" t="inlineStr">
        <is>
          <t>IMPUTADO</t>
        </is>
      </c>
      <c r="G539" s="4" t="n">
        <v>1560</v>
      </c>
    </row>
    <row r="540">
      <c r="A540" s="6" t="inlineStr">
        <is>
          <t>26011 - CASTILLO DE ELDA</t>
        </is>
      </c>
      <c r="B540" s="6" t="inlineStr">
        <is>
          <t>0/000853</t>
        </is>
      </c>
      <c r="C540" s="6" t="inlineStr">
        <is>
          <t>31/07/2026</t>
        </is>
      </c>
      <c r="D540" s="6" t="inlineStr">
        <is>
          <t>GRUA</t>
        </is>
      </c>
      <c r="E540" s="6" t="inlineStr">
        <is>
          <t>GRUAS ILICITANAS SL.</t>
        </is>
      </c>
      <c r="F540" s="6" t="inlineStr">
        <is>
          <t>IMPUTADO</t>
        </is>
      </c>
      <c r="G540" s="4" t="n">
        <v>1550.25</v>
      </c>
    </row>
    <row r="541">
      <c r="A541" s="6" t="inlineStr">
        <is>
          <t>26011 - CASTILLO DE ELDA</t>
        </is>
      </c>
      <c r="B541" s="6" t="inlineStr">
        <is>
          <t>G26.104</t>
        </is>
      </c>
      <c r="C541" s="6" t="inlineStr">
        <is>
          <t>31/07/2026</t>
        </is>
      </c>
      <c r="D541" s="6" t="inlineStr">
        <is>
          <t>GRUA</t>
        </is>
      </c>
      <c r="E541" s="6" t="inlineStr">
        <is>
          <t>GRUAS Y MAQUINARIA PETREL SL</t>
        </is>
      </c>
      <c r="F541" s="6" t="inlineStr">
        <is>
          <t>IMPUTADO</t>
        </is>
      </c>
      <c r="G541" s="4" t="n">
        <v>1365</v>
      </c>
    </row>
    <row r="542">
      <c r="A542" s="6" t="inlineStr">
        <is>
          <t>26011 - CASTILLO DE ELDA</t>
        </is>
      </c>
      <c r="B542" s="6" t="inlineStr">
        <is>
          <t>641631</t>
        </is>
      </c>
      <c r="C542" s="6" t="inlineStr">
        <is>
          <t>25/08/2026</t>
        </is>
      </c>
      <c r="D542" s="6" t="inlineStr">
        <is>
          <t>PRESUPUESTO 641631</t>
        </is>
      </c>
      <c r="E542" s="6" t="inlineStr">
        <is>
          <t>LEROY MERLIN ESPAÑA SL</t>
        </is>
      </c>
      <c r="F542" s="6" t="inlineStr">
        <is>
          <t>IMPUTADO</t>
        </is>
      </c>
      <c r="G542" s="4" t="n">
        <v>998.6900000000001</v>
      </c>
    </row>
    <row r="543">
      <c r="A543" s="6" t="inlineStr">
        <is>
          <t>26011 - CASTILLO DE ELDA</t>
        </is>
      </c>
      <c r="B543" s="6" t="inlineStr">
        <is>
          <t>26/721</t>
        </is>
      </c>
      <c r="C543" s="6" t="inlineStr">
        <is>
          <t>25/09/2026</t>
        </is>
      </c>
      <c r="D543" s="6" t="inlineStr">
        <is>
          <t>ACERO LOSA</t>
        </is>
      </c>
      <c r="E543" s="6" t="inlineStr">
        <is>
          <t>FERRALLAS MONFORTE DEL CID SL.</t>
        </is>
      </c>
      <c r="F543" s="6" t="inlineStr">
        <is>
          <t>IMPUTADO</t>
        </is>
      </c>
      <c r="G543" s="4" t="n">
        <v>594</v>
      </c>
    </row>
    <row r="544">
      <c r="A544" s="6" t="inlineStr">
        <is>
          <t>26011 - CASTILLO DE ELDA</t>
        </is>
      </c>
      <c r="B544" s="6" t="inlineStr">
        <is>
          <t>H-26-004255</t>
        </is>
      </c>
      <c r="C544" s="6" t="inlineStr">
        <is>
          <t>10/09/2026</t>
        </is>
      </c>
      <c r="D544" s="6" t="inlineStr">
        <is>
          <t>HORMIGON HA-25/F/20/XC1</t>
        </is>
      </c>
      <c r="E544" s="6" t="inlineStr">
        <is>
          <t>HORMIGONES DEL VINALOPO SA</t>
        </is>
      </c>
      <c r="F544" s="6" t="inlineStr">
        <is>
          <t>IMPUTADO</t>
        </is>
      </c>
      <c r="G544" s="4" t="n">
        <v>532.5</v>
      </c>
    </row>
    <row r="545">
      <c r="A545" s="6" t="inlineStr">
        <is>
          <t>26011 - CASTILLO DE ELDA</t>
        </is>
      </c>
      <c r="B545" s="6" t="inlineStr">
        <is>
          <t>S/87</t>
        </is>
      </c>
      <c r="C545" s="6" t="inlineStr">
        <is>
          <t>10/07/2026</t>
        </is>
      </c>
      <c r="D545" s="6" t="inlineStr">
        <is>
          <t>HORMIGON LIMPIEZA</t>
        </is>
      </c>
      <c r="E545" s="6" t="inlineStr">
        <is>
          <t>SEBASTIAN NAVARRO SL</t>
        </is>
      </c>
      <c r="F545" s="6" t="inlineStr">
        <is>
          <t>IMPUTADO</t>
        </is>
      </c>
      <c r="G545" s="4" t="n">
        <v>510</v>
      </c>
    </row>
    <row r="546">
      <c r="A546" s="6" t="inlineStr">
        <is>
          <t>26011 - CASTILLO DE ELDA</t>
        </is>
      </c>
      <c r="B546" s="6" t="inlineStr">
        <is>
          <t>0/000934</t>
        </is>
      </c>
      <c r="C546" s="6" t="inlineStr">
        <is>
          <t>28/08/2026</t>
        </is>
      </c>
      <c r="D546" s="6" t="inlineStr">
        <is>
          <t>CAMION GRUA</t>
        </is>
      </c>
      <c r="E546" s="6" t="inlineStr">
        <is>
          <t>GRUAS ILICITANAS SL.</t>
        </is>
      </c>
      <c r="F546" s="6" t="inlineStr">
        <is>
          <t>IMPUTADO</t>
        </is>
      </c>
      <c r="G546" s="4" t="n">
        <v>500</v>
      </c>
    </row>
    <row r="547">
      <c r="A547" s="6" t="inlineStr">
        <is>
          <t>26011 - CASTILLO DE ELDA</t>
        </is>
      </c>
      <c r="B547" s="6" t="inlineStr">
        <is>
          <t>A26/108</t>
        </is>
      </c>
      <c r="C547" s="6" t="inlineStr">
        <is>
          <t>27/07/2026</t>
        </is>
      </c>
      <c r="D547" s="6" t="inlineStr">
        <is>
          <t>ELECTRICIDAD CUADRO</t>
        </is>
      </c>
      <c r="E547" s="6" t="inlineStr">
        <is>
          <t>GABRIEL MOYA INSTALACIONES ELECTRICAS SL.</t>
        </is>
      </c>
      <c r="F547" s="6" t="inlineStr">
        <is>
          <t>IMPUTADO</t>
        </is>
      </c>
      <c r="G547" s="4" t="n">
        <v>426</v>
      </c>
    </row>
    <row r="548">
      <c r="A548" s="6" t="inlineStr">
        <is>
          <t>26011 - CASTILLO DE ELDA</t>
        </is>
      </c>
      <c r="B548" s="6" t="inlineStr">
        <is>
          <t>A-76/2026</t>
        </is>
      </c>
      <c r="C548" s="6" t="inlineStr">
        <is>
          <t>25/09/2026</t>
        </is>
      </c>
      <c r="D548" s="6" t="inlineStr">
        <is>
          <t>TOMA DE MUESTRAS HORMIGON</t>
        </is>
      </c>
      <c r="E548" s="6" t="inlineStr">
        <is>
          <t>LABORATORIO DE INGENIERIA Y MEDIO AMBIENTE SA.</t>
        </is>
      </c>
      <c r="F548" s="6" t="inlineStr">
        <is>
          <t>IMPUTADO</t>
        </is>
      </c>
      <c r="G548" s="4" t="n">
        <v>400</v>
      </c>
    </row>
    <row r="549">
      <c r="A549" s="6" t="inlineStr">
        <is>
          <t>26011 - CASTILLO DE ELDA</t>
        </is>
      </c>
      <c r="B549" s="6" t="inlineStr">
        <is>
          <t>G26.107</t>
        </is>
      </c>
      <c r="C549" s="6" t="inlineStr">
        <is>
          <t>31/08/2026</t>
        </is>
      </c>
      <c r="D549" s="6" t="inlineStr">
        <is>
          <t>GRUA</t>
        </is>
      </c>
      <c r="E549" s="6" t="inlineStr">
        <is>
          <t>GRUAS Y MAQUINARIA PETREL SL</t>
        </is>
      </c>
      <c r="F549" s="6" t="inlineStr">
        <is>
          <t>IMPUTADO</t>
        </is>
      </c>
      <c r="G549" s="4" t="n">
        <v>325</v>
      </c>
    </row>
    <row r="550">
      <c r="A550" s="6" t="inlineStr">
        <is>
          <t>26011 - CASTILLO DE ELDA</t>
        </is>
      </c>
      <c r="B550" s="6" t="inlineStr">
        <is>
          <t>G26.090</t>
        </is>
      </c>
      <c r="C550" s="6" t="inlineStr">
        <is>
          <t>23/07/2026</t>
        </is>
      </c>
      <c r="D550" s="6" t="inlineStr">
        <is>
          <t>GRUA</t>
        </is>
      </c>
      <c r="E550" s="6" t="inlineStr">
        <is>
          <t>GRUAS Y MAQUINARIA PETREL SL</t>
        </is>
      </c>
      <c r="F550" s="6" t="inlineStr">
        <is>
          <t>IMPUTADO</t>
        </is>
      </c>
      <c r="G550" s="4" t="n">
        <v>325</v>
      </c>
    </row>
    <row r="551">
      <c r="A551" s="6" t="inlineStr">
        <is>
          <t>26011 - CASTILLO DE ELDA</t>
        </is>
      </c>
      <c r="B551" s="6" t="inlineStr">
        <is>
          <t>FV26-024835</t>
        </is>
      </c>
      <c r="C551" s="6" t="inlineStr">
        <is>
          <t>30/09/2026</t>
        </is>
      </c>
      <c r="D551" s="6" t="inlineStr">
        <is>
          <t>SACAR ARENA/CEMENTO</t>
        </is>
      </c>
      <c r="E551" s="6" t="inlineStr">
        <is>
          <t>HIJOS DE JOSE BUSQUIER SL</t>
        </is>
      </c>
      <c r="F551" s="6" t="inlineStr">
        <is>
          <t>IMPUTADO</t>
        </is>
      </c>
      <c r="G551" s="4" t="n">
        <v>284.25</v>
      </c>
    </row>
    <row r="552">
      <c r="A552" s="6" t="inlineStr">
        <is>
          <t>26011 - CASTILLO DE ELDA</t>
        </is>
      </c>
      <c r="B552" s="6" t="inlineStr">
        <is>
          <t>A-701/2026</t>
        </is>
      </c>
      <c r="C552" s="6" t="inlineStr">
        <is>
          <t>25/08/2026</t>
        </is>
      </c>
      <c r="D552" s="6" t="inlineStr">
        <is>
          <t>TOMA DE MUESTRAS DE HORMIGON FRESCO</t>
        </is>
      </c>
      <c r="E552" s="6" t="inlineStr">
        <is>
          <t>LABORATORIO DE INGENIERIA Y MEDIO AMBIENTE SA.</t>
        </is>
      </c>
      <c r="F552" s="6" t="inlineStr">
        <is>
          <t>IMPUTADO</t>
        </is>
      </c>
      <c r="G552" s="4" t="n">
        <v>100</v>
      </c>
    </row>
    <row r="553">
      <c r="A553" s="6" t="inlineStr">
        <is>
          <t>26011 - CASTILLO DE ELDA</t>
        </is>
      </c>
      <c r="B553" s="6" t="inlineStr">
        <is>
          <t>026-0007-543619</t>
        </is>
      </c>
      <c r="C553" s="6" t="inlineStr">
        <is>
          <t>08/07/2026</t>
        </is>
      </c>
      <c r="D553" s="6" t="inlineStr">
        <is>
          <t>FILM PE GALGA</t>
        </is>
      </c>
      <c r="E553" s="6" t="inlineStr">
        <is>
          <t>BRICOLAJE BRICOMAN SLU</t>
        </is>
      </c>
      <c r="F553" s="6" t="inlineStr">
        <is>
          <t>IMPUTADO</t>
        </is>
      </c>
      <c r="G553" s="4" t="n">
        <v>92.56</v>
      </c>
    </row>
    <row r="554">
      <c r="A554" s="6" t="inlineStr">
        <is>
          <t>26011 - CASTILLO DE ELDA</t>
        </is>
      </c>
      <c r="B554" s="6" t="inlineStr">
        <is>
          <t>FV26-024018</t>
        </is>
      </c>
      <c r="C554" s="6" t="inlineStr">
        <is>
          <t>21/09/2026</t>
        </is>
      </c>
      <c r="D554" s="6" t="inlineStr">
        <is>
          <t>SACA ARENA COMUN MEZCLA MORTERO</t>
        </is>
      </c>
      <c r="E554" s="6" t="inlineStr">
        <is>
          <t>HIJOS DE JOSE BUSQUIER SL</t>
        </is>
      </c>
      <c r="F554" s="6" t="inlineStr">
        <is>
          <t>IMPUTADO</t>
        </is>
      </c>
      <c r="G554" s="4" t="n">
        <v>70.5</v>
      </c>
    </row>
    <row r="555">
      <c r="A555" s="6" t="inlineStr">
        <is>
          <t>26011 - CASTILLO DE ELDA</t>
        </is>
      </c>
      <c r="B555" s="6" t="inlineStr">
        <is>
          <t>H-26-004463</t>
        </is>
      </c>
      <c r="C555" s="6" t="inlineStr">
        <is>
          <t>30/09/2026</t>
        </is>
      </c>
      <c r="D555" s="6" t="inlineStr">
        <is>
          <t>HORMIGON HA-25/F/20/XC1</t>
        </is>
      </c>
      <c r="E555" s="6" t="inlineStr">
        <is>
          <t>HORMIGONES DEL VINALOPO SA</t>
        </is>
      </c>
      <c r="F555" s="6" t="inlineStr">
        <is>
          <t>IMPUTADO</t>
        </is>
      </c>
      <c r="G555" s="4" t="n">
        <v>11</v>
      </c>
    </row>
    <row r="556">
      <c r="A556" s="6" t="inlineStr">
        <is>
          <t>26011 - CASTILLO DE ELDA</t>
        </is>
      </c>
      <c r="B556" s="6" t="inlineStr">
        <is>
          <t>026-0009-593707</t>
        </is>
      </c>
      <c r="C556" s="6" t="inlineStr">
        <is>
          <t>26/09/2026</t>
        </is>
      </c>
      <c r="D556" s="6" t="inlineStr">
        <is>
          <t>ARENA MEZCLA</t>
        </is>
      </c>
      <c r="E556" s="6" t="inlineStr">
        <is>
          <t>BRICOLAJE BRICOMAN SLU</t>
        </is>
      </c>
      <c r="F556" s="6" t="inlineStr">
        <is>
          <t>IMPUTADO</t>
        </is>
      </c>
      <c r="G556" s="4" t="n">
        <v>8.640000000000001</v>
      </c>
    </row>
    <row r="557">
      <c r="A557" s="6" t="inlineStr">
        <is>
          <t>26011 - CASTILLO DE ELDA</t>
        </is>
      </c>
      <c r="B557" s="6" t="inlineStr">
        <is>
          <t>FV26-024513</t>
        </is>
      </c>
      <c r="C557" s="6" t="inlineStr">
        <is>
          <t>25/09/2026</t>
        </is>
      </c>
      <c r="D557" s="6" t="inlineStr">
        <is>
          <t>RESINA PUENTE UNION/PULVERIZADOR</t>
        </is>
      </c>
      <c r="E557" s="6" t="inlineStr">
        <is>
          <t>HIJOS DE JOSE BUSQUIER SL</t>
        </is>
      </c>
      <c r="F557" s="6" t="inlineStr">
        <is>
          <t>IMPUTADO</t>
        </is>
      </c>
      <c r="G557" s="4" t="n">
        <v>7.85</v>
      </c>
    </row>
    <row r="558">
      <c r="A558" s="6" t="inlineStr">
        <is>
          <t>26011 - CASTILLO DE ELDA</t>
        </is>
      </c>
      <c r="B558" s="6" t="inlineStr">
        <is>
          <t>026-0009-593885</t>
        </is>
      </c>
      <c r="C558" s="6" t="inlineStr">
        <is>
          <t>26/09/2026</t>
        </is>
      </c>
      <c r="D558" s="6" t="inlineStr">
        <is>
          <t>ARENA MEZCLA</t>
        </is>
      </c>
      <c r="E558" s="6" t="inlineStr">
        <is>
          <t>BRICOLAJE BRICOMAN SLU</t>
        </is>
      </c>
      <c r="F558" s="6" t="inlineStr">
        <is>
          <t>IMPUTADO</t>
        </is>
      </c>
      <c r="G558" s="4" t="n">
        <v>3.93</v>
      </c>
    </row>
    <row r="559">
      <c r="A559" s="6" t="inlineStr">
        <is>
          <t>26013 - ARREGLO PAVIMENTOS COMUNIDAD PROPIETARIOS -CALLE SOROLLA, 13. 03560. EL CAMPELLO</t>
        </is>
      </c>
      <c r="B559" s="6" t="inlineStr">
        <is>
          <t>FACT202610591</t>
        </is>
      </c>
      <c r="C559" s="6" t="inlineStr">
        <is>
          <t>23/09/2026</t>
        </is>
      </c>
      <c r="D559" s="6" t="inlineStr">
        <is>
          <t>COLA BLANCA</t>
        </is>
      </c>
      <c r="E559" s="6" t="inlineStr">
        <is>
          <t>HERMANOS LLEDO SL</t>
        </is>
      </c>
      <c r="F559" s="6" t="inlineStr">
        <is>
          <t>IMPUTADO</t>
        </is>
      </c>
      <c r="G559" s="4" t="n">
        <v>81.12</v>
      </c>
    </row>
    <row r="560">
      <c r="A560" s="6" t="inlineStr">
        <is>
          <t>26013 - ARREGLO PAVIMENTOS COMUNIDAD PROPIETARIOS -CALLE SOROLLA, 13. 03560. EL CAMPELLO</t>
        </is>
      </c>
      <c r="B560" s="6" t="inlineStr">
        <is>
          <t>FV26-023639</t>
        </is>
      </c>
      <c r="C560" s="6" t="inlineStr">
        <is>
          <t>16/09/2026</t>
        </is>
      </c>
      <c r="D560" s="6" t="inlineStr">
        <is>
          <t>NIVEL FUNDICION</t>
        </is>
      </c>
      <c r="E560" s="6" t="inlineStr">
        <is>
          <t>HIJOS DE JOSE BUSQUIER SL</t>
        </is>
      </c>
      <c r="F560" s="6" t="inlineStr">
        <is>
          <t>IMPUTADO</t>
        </is>
      </c>
      <c r="G560" s="4" t="n">
        <v>79.72</v>
      </c>
    </row>
    <row r="561">
      <c r="A561" s="6" t="inlineStr">
        <is>
          <t>26017 - OBRA MADRE MARIA PEREAMAR</t>
        </is>
      </c>
      <c r="B561" s="6" t="inlineStr">
        <is>
          <t>L00360</t>
        </is>
      </c>
      <c r="C561" s="6" t="inlineStr">
        <is>
          <t>31/08/2026</t>
        </is>
      </c>
      <c r="D561" s="6" t="inlineStr">
        <is>
          <t>HORMIGON HA-25/B/20</t>
        </is>
      </c>
      <c r="E561" s="6" t="inlineStr">
        <is>
          <t>CANTERAS Y RECICLADOS SL.</t>
        </is>
      </c>
      <c r="F561" s="6" t="inlineStr">
        <is>
          <t>IMPUTADO</t>
        </is>
      </c>
      <c r="G561" s="4" t="n">
        <v>1671</v>
      </c>
    </row>
    <row r="562">
      <c r="A562" s="6" t="inlineStr">
        <is>
          <t>26017 - OBRA MADRE MARIA PEREAMAR</t>
        </is>
      </c>
      <c r="B562" s="6" t="inlineStr">
        <is>
          <t>A-26/0002949</t>
        </is>
      </c>
      <c r="C562" s="6" t="inlineStr">
        <is>
          <t>31/07/2026</t>
        </is>
      </c>
      <c r="D562" s="6" t="inlineStr">
        <is>
          <t>MATERIAL</t>
        </is>
      </c>
      <c r="E562" s="6" t="inlineStr">
        <is>
          <t>CONSYDECOR SL</t>
        </is>
      </c>
      <c r="F562" s="6" t="inlineStr">
        <is>
          <t>IMPUTADO</t>
        </is>
      </c>
      <c r="G562" s="4" t="n">
        <v>1350.83</v>
      </c>
    </row>
    <row r="563">
      <c r="A563" s="6" t="inlineStr">
        <is>
          <t>26017 - OBRA MADRE MARIA PEREAMAR</t>
        </is>
      </c>
      <c r="B563" s="6" t="inlineStr">
        <is>
          <t>0/004471</t>
        </is>
      </c>
      <c r="C563" s="6" t="inlineStr">
        <is>
          <t>20/07/2026</t>
        </is>
      </c>
      <c r="D563" s="6" t="inlineStr">
        <is>
          <t>ALQUILER MAQUINARIA (+20%)</t>
        </is>
      </c>
      <c r="E563" s="6" t="inlineStr">
        <is>
          <t>GOMARIZ SISTEMAS DE ELEVACION SL</t>
        </is>
      </c>
      <c r="F563" s="6" t="inlineStr">
        <is>
          <t>IMPUTADO</t>
        </is>
      </c>
      <c r="G563" s="4" t="n">
        <v>498.65</v>
      </c>
    </row>
    <row r="564">
      <c r="A564" s="6" t="inlineStr">
        <is>
          <t>26017 - OBRA MADRE MARIA PEREAMAR</t>
        </is>
      </c>
      <c r="B564" s="6" t="inlineStr">
        <is>
          <t>G26.108</t>
        </is>
      </c>
      <c r="C564" s="6" t="inlineStr">
        <is>
          <t>31/08/2026</t>
        </is>
      </c>
      <c r="D564" s="6" t="inlineStr">
        <is>
          <t>GRUA</t>
        </is>
      </c>
      <c r="E564" s="6" t="inlineStr">
        <is>
          <t>GRUAS Y MAQUINARIA PETREL SL</t>
        </is>
      </c>
      <c r="F564" s="6" t="inlineStr">
        <is>
          <t>IMPUTADO</t>
        </is>
      </c>
      <c r="G564" s="4" t="n">
        <v>455</v>
      </c>
    </row>
    <row r="565">
      <c r="A565" s="6" t="inlineStr">
        <is>
          <t>26017 - OBRA MADRE MARIA PEREAMAR</t>
        </is>
      </c>
      <c r="B565" s="6" t="inlineStr">
        <is>
          <t>52</t>
        </is>
      </c>
      <c r="C565" s="6" t="inlineStr">
        <is>
          <t>28/08/2026</t>
        </is>
      </c>
      <c r="D565" s="6" t="inlineStr">
        <is>
          <t>PALA EXCAVADORA</t>
        </is>
      </c>
      <c r="E565" s="6" t="inlineStr">
        <is>
          <t>PAULINO TOMAS JUAN</t>
        </is>
      </c>
      <c r="F565" s="6" t="inlineStr">
        <is>
          <t>IMPUTADO</t>
        </is>
      </c>
      <c r="G565" s="4" t="n">
        <v>180</v>
      </c>
    </row>
    <row r="566">
      <c r="A566" s="6" t="inlineStr">
        <is>
          <t>26017 - OBRA MADRE MARIA PEREAMAR</t>
        </is>
      </c>
      <c r="B566" s="6" t="inlineStr">
        <is>
          <t>FV26-020474</t>
        </is>
      </c>
      <c r="C566" s="6" t="inlineStr">
        <is>
          <t>05/08/2026</t>
        </is>
      </c>
      <c r="D566" s="6" t="inlineStr">
        <is>
          <t>RODILLO/PALETINA/MONOCAPA/CEMENTO COLA/LLANA</t>
        </is>
      </c>
      <c r="E566" s="6" t="inlineStr">
        <is>
          <t>HIJOS DE JOSE BUSQUIER SL</t>
        </is>
      </c>
      <c r="F566" s="6" t="inlineStr">
        <is>
          <t>IMPUTADO</t>
        </is>
      </c>
      <c r="G566" s="4" t="n">
        <v>178.56</v>
      </c>
    </row>
    <row r="567">
      <c r="A567" s="6" t="inlineStr">
        <is>
          <t>26017 - OBRA MADRE MARIA PEREAMAR</t>
        </is>
      </c>
      <c r="B567" s="6" t="inlineStr">
        <is>
          <t>A/1697</t>
        </is>
      </c>
      <c r="C567" s="6" t="inlineStr">
        <is>
          <t>15/07/2026</t>
        </is>
      </c>
      <c r="D567" s="6" t="inlineStr">
        <is>
          <t>MATERIAL OBRA</t>
        </is>
      </c>
      <c r="E567" s="6" t="inlineStr">
        <is>
          <t>MATERIALES DE CONSTRUCCION LOS CAPITOS SL.</t>
        </is>
      </c>
      <c r="F567" s="6" t="inlineStr">
        <is>
          <t>IMPUTADO</t>
        </is>
      </c>
      <c r="G567" s="4" t="n">
        <v>104.13</v>
      </c>
    </row>
    <row r="568">
      <c r="A568" s="6" t="inlineStr">
        <is>
          <t>26017 - OBRA MADRE MARIA PEREAMAR</t>
        </is>
      </c>
      <c r="B568" s="6" t="inlineStr">
        <is>
          <t>A/1382</t>
        </is>
      </c>
      <c r="C568" s="6" t="inlineStr">
        <is>
          <t>11/09/2026</t>
        </is>
      </c>
      <c r="D568" s="6" t="inlineStr">
        <is>
          <t>IMPRESION PLANOS A3</t>
        </is>
      </c>
      <c r="E568" s="6" t="inlineStr">
        <is>
          <t>PLACIDO BOTELLA PEREZ</t>
        </is>
      </c>
      <c r="F568" s="6" t="inlineStr">
        <is>
          <t>SIN IMPUTAR</t>
        </is>
      </c>
      <c r="G568" s="4" t="n">
        <v>30.46</v>
      </c>
    </row>
    <row r="569">
      <c r="A569" s="6" t="inlineStr">
        <is>
          <t>26020 - OBRA CARLA, PINOSO</t>
        </is>
      </c>
      <c r="B569" s="6" t="inlineStr">
        <is>
          <t>A/1583</t>
        </is>
      </c>
      <c r="C569" s="6" t="inlineStr">
        <is>
          <t>30/06/2026</t>
        </is>
      </c>
      <c r="D569" s="6" t="inlineStr">
        <is>
          <t>MATERIAL OBRA</t>
        </is>
      </c>
      <c r="E569" s="6" t="inlineStr">
        <is>
          <t>MATERIALES DE CONSTRUCCION LOS CAPITOS SL.</t>
        </is>
      </c>
      <c r="F569" s="6" t="inlineStr">
        <is>
          <t>INVÁLIDO</t>
        </is>
      </c>
      <c r="G569" s="4" t="n">
        <v>2312.04</v>
      </c>
    </row>
    <row r="570">
      <c r="A570" s="6" t="inlineStr">
        <is>
          <t>26020 - OBRA CARLA, PINOSO</t>
        </is>
      </c>
      <c r="B570" s="6" t="inlineStr">
        <is>
          <t>L00292</t>
        </is>
      </c>
      <c r="C570" s="6" t="inlineStr">
        <is>
          <t>30/06/2026</t>
        </is>
      </c>
      <c r="D570" s="6" t="inlineStr">
        <is>
          <t>HORMIGON CIMENTACION</t>
        </is>
      </c>
      <c r="E570" s="6" t="inlineStr">
        <is>
          <t>CANTERAS Y RECICLADOS SL.</t>
        </is>
      </c>
      <c r="F570" s="6" t="inlineStr">
        <is>
          <t>INVÁLIDO</t>
        </is>
      </c>
      <c r="G570" s="4" t="n">
        <v>1196.25</v>
      </c>
    </row>
    <row r="571">
      <c r="A571" s="6" t="inlineStr">
        <is>
          <t>26020 - OBRA CARLA, PINOSO</t>
        </is>
      </c>
      <c r="B571" s="6" t="inlineStr">
        <is>
          <t>G26.085</t>
        </is>
      </c>
      <c r="C571" s="6" t="inlineStr">
        <is>
          <t>30/06/2026</t>
        </is>
      </c>
      <c r="D571" s="6" t="inlineStr">
        <is>
          <t>GRUA</t>
        </is>
      </c>
      <c r="E571" s="6" t="inlineStr">
        <is>
          <t>GRUAS Y MAQUINARIA PETREL SL</t>
        </is>
      </c>
      <c r="F571" s="6" t="inlineStr">
        <is>
          <t>INVÁLIDO</t>
        </is>
      </c>
      <c r="G571" s="4" t="n">
        <v>975</v>
      </c>
    </row>
    <row r="572">
      <c r="A572" s="6" t="inlineStr">
        <is>
          <t>26020 - OBRA CARLA, PINOSO</t>
        </is>
      </c>
      <c r="B572" s="6" t="inlineStr">
        <is>
          <t>26/508</t>
        </is>
      </c>
      <c r="C572" s="6" t="inlineStr">
        <is>
          <t>26/06/2026</t>
        </is>
      </c>
      <c r="D572" s="6" t="inlineStr">
        <is>
          <t>HIERRO CIMENTACIÓN</t>
        </is>
      </c>
      <c r="E572" s="6" t="inlineStr">
        <is>
          <t>FERRALLAS MONFORTE DEL CID SL.</t>
        </is>
      </c>
      <c r="F572" s="6" t="inlineStr">
        <is>
          <t>INVÁLIDO</t>
        </is>
      </c>
      <c r="G572" s="4" t="n">
        <v>441.36</v>
      </c>
    </row>
    <row r="573">
      <c r="A573" s="6" t="inlineStr">
        <is>
          <t>26020 - OBRA CARLA, PINOSO</t>
        </is>
      </c>
      <c r="B573" s="6" t="inlineStr">
        <is>
          <t>45</t>
        </is>
      </c>
      <c r="C573" s="6" t="inlineStr">
        <is>
          <t>13/07/2026</t>
        </is>
      </c>
      <c r="D573" s="6" t="inlineStr">
        <is>
          <t>PALA PAULINO</t>
        </is>
      </c>
      <c r="E573" s="6" t="inlineStr">
        <is>
          <t>PAULINO TOMAS JUAN</t>
        </is>
      </c>
      <c r="F573" s="6" t="inlineStr">
        <is>
          <t>INVÁLIDO</t>
        </is>
      </c>
      <c r="G573" s="4" t="n">
        <v>180</v>
      </c>
    </row>
    <row r="574">
      <c r="A574" s="6" t="inlineStr">
        <is>
          <t>26020 - OBRA CARLA, PINOSO</t>
        </is>
      </c>
      <c r="B574" s="6" t="inlineStr">
        <is>
          <t>53</t>
        </is>
      </c>
      <c r="C574" s="6" t="inlineStr">
        <is>
          <t>13/07/2026</t>
        </is>
      </c>
      <c r="D574" s="6" t="inlineStr">
        <is>
          <t>GRUA-CAMION</t>
        </is>
      </c>
      <c r="E574" s="6" t="inlineStr">
        <is>
          <t>JOSE LUIS PEREZ JAREÑO</t>
        </is>
      </c>
      <c r="F574" s="6" t="inlineStr">
        <is>
          <t>INVÁLIDO</t>
        </is>
      </c>
      <c r="G574" s="4" t="n">
        <v>75</v>
      </c>
    </row>
    <row r="575">
      <c r="A575" s="6" t="inlineStr">
        <is>
          <t>26020 - OBRA CARLA, PINOSO</t>
        </is>
      </c>
      <c r="B575" s="6" t="inlineStr">
        <is>
          <t>A/1722</t>
        </is>
      </c>
      <c r="C575" s="6" t="inlineStr">
        <is>
          <t>15/07/2026</t>
        </is>
      </c>
      <c r="D575" s="6" t="inlineStr">
        <is>
          <t>MATERIAL OBRA</t>
        </is>
      </c>
      <c r="E575" s="6" t="inlineStr">
        <is>
          <t>MATERIALES DE CONSTRUCCION LOS CAPITOS SL.</t>
        </is>
      </c>
      <c r="F575" s="6" t="inlineStr">
        <is>
          <t>INVÁLIDO</t>
        </is>
      </c>
      <c r="G575" s="4" t="n">
        <v>41.9</v>
      </c>
    </row>
    <row r="576">
      <c r="A576" s="6" t="inlineStr">
        <is>
          <t>26020 - OBRA CARLA, PINOSO</t>
        </is>
      </c>
      <c r="B576" s="6" t="inlineStr">
        <is>
          <t>026-0006-536923</t>
        </is>
      </c>
      <c r="C576" s="6" t="inlineStr">
        <is>
          <t>29/06/2026</t>
        </is>
      </c>
      <c r="D576" s="6" t="inlineStr">
        <is>
          <t>ARENA Y BARDO</t>
        </is>
      </c>
      <c r="E576" s="6" t="inlineStr">
        <is>
          <t>BRICOLAJE BRICOMAN SLU</t>
        </is>
      </c>
      <c r="F576" s="6" t="inlineStr">
        <is>
          <t>INVÁLIDO</t>
        </is>
      </c>
      <c r="G576" s="4" t="n">
        <v>30.25</v>
      </c>
    </row>
    <row r="577">
      <c r="A577" s="6" t="inlineStr">
        <is>
          <t>26022 - OBRA COLEGIO MONOVAR</t>
        </is>
      </c>
      <c r="B577" s="6" t="inlineStr">
        <is>
          <t>G26.122</t>
        </is>
      </c>
      <c r="C577" s="6" t="inlineStr">
        <is>
          <t>30/09/2026</t>
        </is>
      </c>
      <c r="D577" s="6" t="inlineStr">
        <is>
          <t>GRUA</t>
        </is>
      </c>
      <c r="E577" s="6" t="inlineStr">
        <is>
          <t>GRUAS Y MAQUINARIA PETREL SL</t>
        </is>
      </c>
      <c r="F577" s="6" t="inlineStr">
        <is>
          <t>SIN IMPUTAR</t>
        </is>
      </c>
      <c r="G577" s="4" t="n">
        <v>520</v>
      </c>
    </row>
    <row r="578">
      <c r="A578" s="6" t="inlineStr">
        <is>
          <t>26022 - OBRA COLEGIO MONOVAR</t>
        </is>
      </c>
      <c r="B578" s="6" t="inlineStr">
        <is>
          <t>001-3098</t>
        </is>
      </c>
      <c r="C578" s="6" t="inlineStr">
        <is>
          <t>21/09/2026</t>
        </is>
      </c>
      <c r="D578" s="6" t="inlineStr">
        <is>
          <t>BIG BAG ARENA LAVADA DE RIO</t>
        </is>
      </c>
      <c r="E578" s="6" t="inlineStr">
        <is>
          <t>ARENAS DEL VALLE SL</t>
        </is>
      </c>
      <c r="F578" s="6" t="inlineStr">
        <is>
          <t>IMPUTADO</t>
        </is>
      </c>
      <c r="G578" s="4" t="n">
        <v>230</v>
      </c>
    </row>
    <row r="579">
      <c r="A579" s="6" t="inlineStr">
        <is>
          <t>26022 - OBRA COLEGIO MONOVAR</t>
        </is>
      </c>
      <c r="B579" s="6" t="inlineStr">
        <is>
          <t>A-26/0005322.</t>
        </is>
      </c>
      <c r="C579" s="6" t="inlineStr">
        <is>
          <t>23/09/2026</t>
        </is>
      </c>
      <c r="D579" s="6" t="inlineStr">
        <is>
          <t>EXTENSIBLE 50MT</t>
        </is>
      </c>
      <c r="E579" s="6" t="inlineStr">
        <is>
          <t>ALVARO BERNAL ZARAZAGA</t>
        </is>
      </c>
      <c r="F579" s="6" t="inlineStr">
        <is>
          <t>IMPUTADO</t>
        </is>
      </c>
      <c r="G579" s="4" t="n">
        <v>63.93</v>
      </c>
    </row>
    <row r="580">
      <c r="A580" s="6" t="inlineStr">
        <is>
          <t>26022 - OBRA COLEGIO MONOVAR</t>
        </is>
      </c>
      <c r="B580" s="6" t="inlineStr">
        <is>
          <t>A-26/0005321</t>
        </is>
      </c>
      <c r="C580" s="6" t="inlineStr">
        <is>
          <t>23/09/2026</t>
        </is>
      </c>
      <c r="D580" s="6" t="inlineStr">
        <is>
          <t>TUBERIA/TAPON/MORTERO/LADRILLO</t>
        </is>
      </c>
      <c r="E580" s="6" t="inlineStr">
        <is>
          <t>ALVARO BERNAL ZARAZAGA</t>
        </is>
      </c>
      <c r="F580" s="6" t="inlineStr">
        <is>
          <t>IMPUTADO</t>
        </is>
      </c>
      <c r="G580" s="4" t="n">
        <v>19.13</v>
      </c>
    </row>
    <row r="581">
      <c r="A581" s="6" t="inlineStr">
        <is>
          <t>26022 - OBRA COLEGIO MONOVAR</t>
        </is>
      </c>
      <c r="B581" s="6" t="inlineStr">
        <is>
          <t>A-26/0005323</t>
        </is>
      </c>
      <c r="C581" s="6" t="inlineStr">
        <is>
          <t>23/09/2026</t>
        </is>
      </c>
      <c r="D581" s="6" t="inlineStr">
        <is>
          <t>PISTOLA/MASILLA/CAPAZO</t>
        </is>
      </c>
      <c r="E581" s="6" t="inlineStr">
        <is>
          <t>ALVARO BERNAL ZARAZAGA</t>
        </is>
      </c>
      <c r="F581" s="6" t="inlineStr">
        <is>
          <t>IMPUTADO</t>
        </is>
      </c>
      <c r="G581" s="4" t="n">
        <v>19.04</v>
      </c>
    </row>
    <row r="582">
      <c r="A582" s="8" t="inlineStr">
        <is>
          <t>TOTAL FACTURAS POR OBRA</t>
        </is>
      </c>
      <c r="B582" s="8" t="n"/>
      <c r="C582" s="8" t="n"/>
      <c r="D582" s="8" t="n"/>
      <c r="E582" s="8" t="n"/>
      <c r="F582" s="8" t="n"/>
      <c r="G582" s="9">
        <f>SUM(G4:G581)</f>
        <v/>
      </c>
    </row>
  </sheetData>
  <autoFilter ref="A3:G581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F3460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4" customWidth="1" min="3" max="3"/>
    <col width="22" customWidth="1" min="4" max="4"/>
  </cols>
  <sheetData>
    <row r="1">
      <c r="A1" s="1" t="inlineStr">
        <is>
          <t>PRORRATEO DE GASTOS COMUNES</t>
        </is>
      </c>
    </row>
    <row r="3">
      <c r="A3" s="2" t="inlineStr">
        <is>
          <t>Formula: (% Certificacion del proyecto / Total) x Total Gastos Comunes</t>
        </is>
      </c>
    </row>
    <row r="5">
      <c r="A5" s="5" t="inlineStr">
        <is>
          <t>Proyecto</t>
        </is>
      </c>
      <c r="B5" s="5" t="inlineStr">
        <is>
          <t>Certificacion (EUR)</t>
        </is>
      </c>
      <c r="C5" s="5" t="inlineStr">
        <is>
          <t>% del Total</t>
        </is>
      </c>
      <c r="D5" s="5" t="inlineStr">
        <is>
          <t>Gasto Prorrateado (EUR)</t>
        </is>
      </c>
    </row>
    <row r="6">
      <c r="A6" s="6">
        <f>'Certificaciones'!B4</f>
        <v/>
      </c>
      <c r="B6" s="4">
        <f>'Certificaciones'!C4</f>
        <v/>
      </c>
      <c r="C6" s="6">
        <f>'Certificaciones'!D4</f>
        <v/>
      </c>
      <c r="D6" s="4">
        <f>C6*'Resumen'!B7</f>
        <v/>
      </c>
    </row>
    <row r="7">
      <c r="A7" s="6">
        <f>'Certificaciones'!B5</f>
        <v/>
      </c>
      <c r="B7" s="4">
        <f>'Certificaciones'!C5</f>
        <v/>
      </c>
      <c r="C7" s="6">
        <f>'Certificaciones'!D5</f>
        <v/>
      </c>
      <c r="D7" s="4">
        <f>C7*'Resumen'!B7</f>
        <v/>
      </c>
    </row>
    <row r="8">
      <c r="A8" s="6">
        <f>'Certificaciones'!B6</f>
        <v/>
      </c>
      <c r="B8" s="4">
        <f>'Certificaciones'!C6</f>
        <v/>
      </c>
      <c r="C8" s="6">
        <f>'Certificaciones'!D6</f>
        <v/>
      </c>
      <c r="D8" s="4">
        <f>C8*'Resumen'!B7</f>
        <v/>
      </c>
    </row>
    <row r="9">
      <c r="A9" s="6">
        <f>'Certificaciones'!B7</f>
        <v/>
      </c>
      <c r="B9" s="4">
        <f>'Certificaciones'!C7</f>
        <v/>
      </c>
      <c r="C9" s="6">
        <f>'Certificaciones'!D7</f>
        <v/>
      </c>
      <c r="D9" s="4">
        <f>C9*'Resumen'!B7</f>
        <v/>
      </c>
    </row>
    <row r="10">
      <c r="A10" s="6">
        <f>'Certificaciones'!B8</f>
        <v/>
      </c>
      <c r="B10" s="4">
        <f>'Certificaciones'!C8</f>
        <v/>
      </c>
      <c r="C10" s="6">
        <f>'Certificaciones'!D8</f>
        <v/>
      </c>
      <c r="D10" s="4">
        <f>C10*'Resumen'!B7</f>
        <v/>
      </c>
    </row>
    <row r="11">
      <c r="A11" s="6">
        <f>'Certificaciones'!B9</f>
        <v/>
      </c>
      <c r="B11" s="4">
        <f>'Certificaciones'!C9</f>
        <v/>
      </c>
      <c r="C11" s="6">
        <f>'Certificaciones'!D9</f>
        <v/>
      </c>
      <c r="D11" s="4">
        <f>C11*'Resumen'!B7</f>
        <v/>
      </c>
    </row>
    <row r="12">
      <c r="A12" s="6">
        <f>'Certificaciones'!B10</f>
        <v/>
      </c>
      <c r="B12" s="4">
        <f>'Certificaciones'!C10</f>
        <v/>
      </c>
      <c r="C12" s="6">
        <f>'Certificaciones'!D10</f>
        <v/>
      </c>
      <c r="D12" s="4">
        <f>C12*'Resumen'!B7</f>
        <v/>
      </c>
    </row>
    <row r="13">
      <c r="A13" s="6">
        <f>'Certificaciones'!B11</f>
        <v/>
      </c>
      <c r="B13" s="4">
        <f>'Certificaciones'!C11</f>
        <v/>
      </c>
      <c r="C13" s="6">
        <f>'Certificaciones'!D11</f>
        <v/>
      </c>
      <c r="D13" s="4">
        <f>C13*'Resumen'!B7</f>
        <v/>
      </c>
    </row>
    <row r="14">
      <c r="A14" s="6">
        <f>'Certificaciones'!B12</f>
        <v/>
      </c>
      <c r="B14" s="4">
        <f>'Certificaciones'!C12</f>
        <v/>
      </c>
      <c r="C14" s="6">
        <f>'Certificaciones'!D12</f>
        <v/>
      </c>
      <c r="D14" s="4">
        <f>C14*'Resumen'!B7</f>
        <v/>
      </c>
    </row>
    <row r="15">
      <c r="A15" s="6">
        <f>'Certificaciones'!B13</f>
        <v/>
      </c>
      <c r="B15" s="4">
        <f>'Certificaciones'!C13</f>
        <v/>
      </c>
      <c r="C15" s="6">
        <f>'Certificaciones'!D13</f>
        <v/>
      </c>
      <c r="D15" s="4">
        <f>C15*'Resumen'!B7</f>
        <v/>
      </c>
    </row>
    <row r="16">
      <c r="A16" s="6">
        <f>'Certificaciones'!B14</f>
        <v/>
      </c>
      <c r="B16" s="4">
        <f>'Certificaciones'!C14</f>
        <v/>
      </c>
      <c r="C16" s="6">
        <f>'Certificaciones'!D14</f>
        <v/>
      </c>
      <c r="D16" s="4">
        <f>C16*'Resumen'!B7</f>
        <v/>
      </c>
    </row>
    <row r="17">
      <c r="A17" s="6">
        <f>'Certificaciones'!B15</f>
        <v/>
      </c>
      <c r="B17" s="4">
        <f>'Certificaciones'!C15</f>
        <v/>
      </c>
      <c r="C17" s="6">
        <f>'Certificaciones'!D15</f>
        <v/>
      </c>
      <c r="D17" s="4">
        <f>C17*'Resumen'!B7</f>
        <v/>
      </c>
    </row>
    <row r="18">
      <c r="A18" s="6">
        <f>'Certificaciones'!B16</f>
        <v/>
      </c>
      <c r="B18" s="4">
        <f>'Certificaciones'!C16</f>
        <v/>
      </c>
      <c r="C18" s="6">
        <f>'Certificaciones'!D16</f>
        <v/>
      </c>
      <c r="D18" s="4">
        <f>C18*'Resumen'!B7</f>
        <v/>
      </c>
    </row>
    <row r="19">
      <c r="A19" s="6">
        <f>'Certificaciones'!B17</f>
        <v/>
      </c>
      <c r="B19" s="4">
        <f>'Certificaciones'!C17</f>
        <v/>
      </c>
      <c r="C19" s="6">
        <f>'Certificaciones'!D17</f>
        <v/>
      </c>
      <c r="D19" s="4">
        <f>C19*'Resumen'!B7</f>
        <v/>
      </c>
    </row>
    <row r="20">
      <c r="A20" s="6">
        <f>'Certificaciones'!B18</f>
        <v/>
      </c>
      <c r="B20" s="4">
        <f>'Certificaciones'!C18</f>
        <v/>
      </c>
      <c r="C20" s="6">
        <f>'Certificaciones'!D18</f>
        <v/>
      </c>
      <c r="D20" s="4">
        <f>C20*'Resumen'!B7</f>
        <v/>
      </c>
    </row>
    <row r="21">
      <c r="A21" s="6">
        <f>'Certificaciones'!B19</f>
        <v/>
      </c>
      <c r="B21" s="4">
        <f>'Certificaciones'!C19</f>
        <v/>
      </c>
      <c r="C21" s="6">
        <f>'Certificaciones'!D19</f>
        <v/>
      </c>
      <c r="D21" s="4">
        <f>C21*'Resumen'!B7</f>
        <v/>
      </c>
    </row>
    <row r="22">
      <c r="A22" s="6">
        <f>'Certificaciones'!B20</f>
        <v/>
      </c>
      <c r="B22" s="4">
        <f>'Certificaciones'!C20</f>
        <v/>
      </c>
      <c r="C22" s="6">
        <f>'Certificaciones'!D20</f>
        <v/>
      </c>
      <c r="D22" s="4">
        <f>C22*'Resumen'!B7</f>
        <v/>
      </c>
    </row>
    <row r="23">
      <c r="A23" s="6">
        <f>'Certificaciones'!B21</f>
        <v/>
      </c>
      <c r="B23" s="4">
        <f>'Certificaciones'!C21</f>
        <v/>
      </c>
      <c r="C23" s="6">
        <f>'Certificaciones'!D21</f>
        <v/>
      </c>
      <c r="D23" s="4">
        <f>C23*'Resumen'!B7</f>
        <v/>
      </c>
    </row>
    <row r="24">
      <c r="A24" s="6">
        <f>'Certificaciones'!B22</f>
        <v/>
      </c>
      <c r="B24" s="4">
        <f>'Certificaciones'!C22</f>
        <v/>
      </c>
      <c r="C24" s="6">
        <f>'Certificaciones'!D22</f>
        <v/>
      </c>
      <c r="D24" s="4">
        <f>C24*'Resumen'!B7</f>
        <v/>
      </c>
    </row>
    <row r="25">
      <c r="A25" s="6">
        <f>'Certificaciones'!B23</f>
        <v/>
      </c>
      <c r="B25" s="4">
        <f>'Certificaciones'!C23</f>
        <v/>
      </c>
      <c r="C25" s="6">
        <f>'Certificaciones'!D23</f>
        <v/>
      </c>
      <c r="D25" s="4">
        <f>C25*'Resumen'!B7</f>
        <v/>
      </c>
    </row>
    <row r="26">
      <c r="A26" s="6">
        <f>'Certificaciones'!B24</f>
        <v/>
      </c>
      <c r="B26" s="4">
        <f>'Certificaciones'!C24</f>
        <v/>
      </c>
      <c r="C26" s="6">
        <f>'Certificaciones'!D24</f>
        <v/>
      </c>
      <c r="D26" s="4">
        <f>C26*'Resumen'!B7</f>
        <v/>
      </c>
    </row>
    <row r="27">
      <c r="A27" s="6">
        <f>'Certificaciones'!B25</f>
        <v/>
      </c>
      <c r="B27" s="4">
        <f>'Certificaciones'!C25</f>
        <v/>
      </c>
      <c r="C27" s="6">
        <f>'Certificaciones'!D25</f>
        <v/>
      </c>
      <c r="D27" s="4">
        <f>C27*'Resumen'!B7</f>
        <v/>
      </c>
    </row>
    <row r="28">
      <c r="A28" s="6">
        <f>'Certificaciones'!B26</f>
        <v/>
      </c>
      <c r="B28" s="4">
        <f>'Certificaciones'!C26</f>
        <v/>
      </c>
      <c r="C28" s="6">
        <f>'Certificaciones'!D26</f>
        <v/>
      </c>
      <c r="D28" s="4">
        <f>C28*'Resumen'!B7</f>
        <v/>
      </c>
    </row>
    <row r="29">
      <c r="A29" s="8" t="inlineStr">
        <is>
          <t>TOTAL</t>
        </is>
      </c>
      <c r="B29" s="9">
        <f>SUM(B6:B28)</f>
        <v/>
      </c>
      <c r="C29" s="8">
        <f>SUM(C6:C28)</f>
        <v/>
      </c>
      <c r="D29" s="9">
        <f>SUM(D6:D28)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2026-10-23T10:28:51Z</dcterms:created>
  <dcterms:modified xmlns:dcterms="http://purl.org/dc/terms/" xmlns:xsi="http://www.w3.org/2001/XMLSchema-instance" xsi:type="dcterms:W3CDTF">2026-10-23T10:28:51Z</dcterms:modified>
</cp:coreProperties>
</file>