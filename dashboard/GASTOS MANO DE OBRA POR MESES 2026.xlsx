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jmax\Downloads\1\dashboard\"/>
    </mc:Choice>
  </mc:AlternateContent>
  <xr:revisionPtr revIDLastSave="0" documentId="13_ncr:1_{21B88589-8821-44B0-B9E3-9BCF40CE0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no de Ob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0" i="1" l="1"/>
  <c r="Q30" i="1" s="1"/>
  <c r="P6" i="1"/>
  <c r="Q6" i="1" s="1"/>
  <c r="P7" i="1"/>
  <c r="P8" i="1"/>
  <c r="P9" i="1"/>
  <c r="Q9" i="1" s="1"/>
  <c r="P10" i="1"/>
  <c r="Q10" i="1" s="1"/>
  <c r="P11" i="1"/>
  <c r="P12" i="1"/>
  <c r="Q12" i="1" s="1"/>
  <c r="P13" i="1"/>
  <c r="P14" i="1"/>
  <c r="Q14" i="1" s="1"/>
  <c r="P15" i="1"/>
  <c r="Q15" i="1" s="1"/>
  <c r="P16" i="1"/>
  <c r="Q16" i="1" s="1"/>
  <c r="P17" i="1"/>
  <c r="P18" i="1"/>
  <c r="Q18" i="1" s="1"/>
  <c r="P19" i="1"/>
  <c r="Q19" i="1" s="1"/>
  <c r="P20" i="1"/>
  <c r="P21" i="1"/>
  <c r="Q21" i="1" s="1"/>
  <c r="P22" i="1"/>
  <c r="Q22" i="1" s="1"/>
  <c r="P23" i="1"/>
  <c r="Q23" i="1" s="1"/>
  <c r="P24" i="1"/>
  <c r="Q24" i="1" s="1"/>
  <c r="P25" i="1"/>
  <c r="P26" i="1"/>
  <c r="P27" i="1"/>
  <c r="P28" i="1"/>
  <c r="P29" i="1"/>
  <c r="P5" i="1"/>
  <c r="Q5" i="1" s="1"/>
  <c r="Q29" i="1"/>
  <c r="Q4" i="1"/>
  <c r="Q26" i="1"/>
  <c r="Q25" i="1"/>
  <c r="Q20" i="1"/>
  <c r="Q17" i="1"/>
  <c r="Q13" i="1"/>
  <c r="Q11" i="1"/>
  <c r="Q8" i="1"/>
  <c r="Q7" i="1"/>
  <c r="P4" i="1"/>
</calcChain>
</file>

<file path=xl/sharedStrings.xml><?xml version="1.0" encoding="utf-8"?>
<sst xmlns="http://schemas.openxmlformats.org/spreadsheetml/2006/main" count="43" uniqueCount="43">
  <si>
    <t>MANO DE OBRA AÑO 2026</t>
  </si>
  <si>
    <t>PRECIO/HORA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</si>
  <si>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</si>
  <si>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</si>
  <si>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</si>
  <si>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</si>
  <si>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</si>
  <si>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</si>
  <si>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</si>
  <si>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</si>
  <si>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</si>
  <si>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</si>
  <si>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</si>
  <si>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</si>
  <si>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 HORAS DEL AÑO</t>
  </si>
  <si>
    <t>GASTO TOTAL DEL AÑO</t>
  </si>
  <si>
    <t>26002 - GARAJE MURCIA</t>
  </si>
  <si>
    <t>26001 - SANTA ROSA</t>
  </si>
  <si>
    <t>24017 - CEMENTERIO, MURCIA</t>
  </si>
  <si>
    <t>24002 - FORMENTERA 14, JUANMA</t>
  </si>
  <si>
    <t>24009 - FORMENTERA 12, JOAQUIN</t>
  </si>
  <si>
    <t>24015 - LA PARTE DIFICIL, ALICANTE</t>
  </si>
  <si>
    <t>24014 - LA PARTE DIFICIL, MURCIA</t>
  </si>
  <si>
    <t>26005 - A-13</t>
  </si>
  <si>
    <t>24010 - LA ALBERCA</t>
  </si>
  <si>
    <t>26003 - BARINAS</t>
  </si>
  <si>
    <t>24016 - PLAZA CIRCULAR</t>
  </si>
  <si>
    <t>26006 - OBRA PADRE TRINI</t>
  </si>
  <si>
    <t>26004 - OBRA PISO IBI</t>
  </si>
  <si>
    <t>24018 - OBRA LUC2</t>
  </si>
  <si>
    <t>26011 - CASTILLO DE ELDA</t>
  </si>
  <si>
    <t>26009 - OBRA CALLE CARTAGENA, MURCIA</t>
  </si>
  <si>
    <t>26012 - CBS</t>
  </si>
  <si>
    <t>26020 - OBRA CARLA, PINOSO</t>
  </si>
  <si>
    <t>26017 - OBRA MADRE MARIA PEREAMAR</t>
  </si>
  <si>
    <t>26007 - OBRA HELENA Y JACOBO</t>
  </si>
  <si>
    <t>26008 - OBRA ALBERTO Y EVA - C/ RIO SEGURA, 4. SAN VICENTE DEL RASPEIG</t>
  </si>
  <si>
    <t>24008 - OBRA C/HUERTO CAPUCHINOS, MURCIA</t>
  </si>
  <si>
    <t>26021 - OBRA CRISTINA RESTAURANTE, ALICANTE</t>
  </si>
  <si>
    <t>2100 - MURO VECINO</t>
  </si>
  <si>
    <t>2600 - OBRA CAMPO</t>
  </si>
  <si>
    <t>26022 - OBRA COLEGIO MONOVAR</t>
  </si>
  <si>
    <t>26013 - ARREGLO PAVIMENTOS COMUNIDAD PROPIETARIOS -CALLE SOROLLA, 13. 03560. EL CAMPELLO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</si>
</sst>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K22" sqref="K22"/>
    </sheetView>
  </sheetViews>
  <sheetFormatPr baseColWidth="10" defaultColWidth="9.140625" defaultRowHeight="15" x14ac:dyDescent="0.25"/>
  <cols>
    <col min="1" max="1" width="44.85546875" customWidth="1"/>
    <col min="2" max="9" width="9.140625" style="2" customWidth="1"/>
    <col min="10" max="10" width="11.85546875" style="2" customWidth="1"/>
    <col min="11" max="11" width="9.140625" style="2" customWidth="1"/>
    <col min="12" max="12" width="11.85546875" style="2" customWidth="1"/>
    <col min="13" max="13" width="11" style="2" customWidth="1"/>
    <col min="15" max="15" width="13.5703125" customWidth="1"/>
    <col min="16" max="16" width="16" customWidth="1"/>
    <col min="17" max="17" width="23" customWidth="1"/>
  </cols>
  <sheetData>
    <row r="1" spans="1:17" x14ac:dyDescent="0.25">
      <c r="A1" t="s">
        <v>0</v>
      </c>
      <c r="O1" t="s">
        <v>1</v>
      </c>
    </row>
    <row r="2" spans="1:17" x14ac:dyDescent="0.25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P2" t="s">
        <v>14</v>
      </c>
      <c r="Q2" t="s">
        <v>15</v>
      </c>
    </row>
    <row r="4" spans="1:17" x14ac:dyDescent="0.25">
      <c r="A4" t="s">
        <v>16</v>
      </c>
      <c r="B4" s="2">
        <v>96</v>
      </c>
      <c r="D4" s="2">
        <v>4</v>
      </c>
      <c r="O4" s="1">
        <v>17</v>
      </c>
      <c r="P4" s="4">
        <f t="shared" ref="P4:P30" si="0">SUM(B4:M4)</f>
        <v>100</v>
      </c>
      <c r="Q4" s="1">
        <f t="shared" ref="Q4:Q26" si="1">O4*P4</f>
        <v>1700</v>
      </c>
    </row>
    <row r="5" spans="1:17" x14ac:dyDescent="0.25">
      <c r="A5" t="s">
        <v>17</v>
      </c>
      <c r="B5" s="2">
        <v>36</v>
      </c>
      <c r="C5" s="2">
        <v>357</v>
      </c>
      <c r="D5" s="2">
        <v>40</v>
      </c>
      <c r="E5" s="2">
        <v>4</v>
      </c>
      <c r="O5" s="1">
        <v>17</v>
      </c>
      <c r="P5" s="4">
        <f t="shared" si="0"/>
        <v>437</v>
      </c>
      <c r="Q5" s="1">
        <f t="shared" si="1"/>
        <v>7429</v>
      </c>
    </row>
    <row r="6" spans="1:17" x14ac:dyDescent="0.25">
      <c r="A6" t="s">
        <v>18</v>
      </c>
      <c r="B6" s="2">
        <v>140</v>
      </c>
      <c r="C6" s="2">
        <v>191</v>
      </c>
      <c r="D6" s="2">
        <v>27</v>
      </c>
      <c r="E6" s="2">
        <v>8</v>
      </c>
      <c r="G6" s="2">
        <v>58</v>
      </c>
      <c r="H6" s="2">
        <v>16</v>
      </c>
      <c r="O6" s="1">
        <v>17</v>
      </c>
      <c r="P6" s="4">
        <f t="shared" si="0"/>
        <v>440</v>
      </c>
      <c r="Q6" s="1">
        <f t="shared" si="1"/>
        <v>7480</v>
      </c>
    </row>
    <row r="7" spans="1:17" x14ac:dyDescent="0.25">
      <c r="A7" t="s">
        <v>19</v>
      </c>
      <c r="B7" s="2">
        <v>393</v>
      </c>
      <c r="C7" s="2">
        <v>120</v>
      </c>
      <c r="D7" s="2">
        <v>114</v>
      </c>
      <c r="F7" s="2">
        <v>16</v>
      </c>
      <c r="O7" s="1">
        <v>17</v>
      </c>
      <c r="P7" s="4">
        <f t="shared" si="0"/>
        <v>643</v>
      </c>
      <c r="Q7" s="1">
        <f t="shared" si="1"/>
        <v>10931</v>
      </c>
    </row>
    <row r="8" spans="1:17" x14ac:dyDescent="0.25">
      <c r="A8" t="s">
        <v>20</v>
      </c>
      <c r="B8" s="2">
        <v>22</v>
      </c>
      <c r="C8" s="2">
        <v>71</v>
      </c>
      <c r="D8" s="2">
        <v>260</v>
      </c>
      <c r="E8" s="2">
        <v>629</v>
      </c>
      <c r="F8" s="2">
        <v>594</v>
      </c>
      <c r="G8" s="2">
        <v>1120</v>
      </c>
      <c r="H8" s="2">
        <v>1063</v>
      </c>
      <c r="I8" s="2">
        <v>284</v>
      </c>
      <c r="J8" s="2">
        <v>76</v>
      </c>
      <c r="O8" s="1">
        <v>17</v>
      </c>
      <c r="P8" s="4">
        <f t="shared" si="0"/>
        <v>4119</v>
      </c>
      <c r="Q8" s="1">
        <f t="shared" si="1"/>
        <v>70023</v>
      </c>
    </row>
    <row r="9" spans="1:17" x14ac:dyDescent="0.25">
      <c r="A9" t="s">
        <v>21</v>
      </c>
      <c r="B9" s="2">
        <v>504</v>
      </c>
      <c r="C9" s="2">
        <v>187</v>
      </c>
      <c r="D9" s="2">
        <v>20</v>
      </c>
      <c r="F9" s="2">
        <v>39</v>
      </c>
      <c r="O9" s="1">
        <v>17</v>
      </c>
      <c r="P9" s="4">
        <f t="shared" si="0"/>
        <v>750</v>
      </c>
      <c r="Q9" s="1">
        <f t="shared" si="1"/>
        <v>12750</v>
      </c>
    </row>
    <row r="10" spans="1:17" x14ac:dyDescent="0.25">
      <c r="A10" t="s">
        <v>22</v>
      </c>
      <c r="B10" s="2">
        <v>41</v>
      </c>
      <c r="C10" s="2">
        <v>10</v>
      </c>
      <c r="O10" s="1">
        <v>17</v>
      </c>
      <c r="P10" s="4">
        <f t="shared" si="0"/>
        <v>51</v>
      </c>
      <c r="Q10" s="1">
        <f t="shared" si="1"/>
        <v>867</v>
      </c>
    </row>
    <row r="11" spans="1:17" x14ac:dyDescent="0.25">
      <c r="A11" t="s">
        <v>23</v>
      </c>
      <c r="C11" s="2">
        <v>162</v>
      </c>
      <c r="D11" s="2">
        <v>297</v>
      </c>
      <c r="F11" s="2">
        <v>133</v>
      </c>
      <c r="O11" s="1">
        <v>17</v>
      </c>
      <c r="P11" s="4">
        <f t="shared" si="0"/>
        <v>592</v>
      </c>
      <c r="Q11" s="1">
        <f t="shared" si="1"/>
        <v>10064</v>
      </c>
    </row>
    <row r="12" spans="1:17" x14ac:dyDescent="0.25">
      <c r="A12" t="s">
        <v>24</v>
      </c>
      <c r="B12" s="2">
        <v>103</v>
      </c>
      <c r="C12" s="2">
        <v>36</v>
      </c>
      <c r="D12" s="2">
        <v>93</v>
      </c>
      <c r="E12" s="2">
        <v>453</v>
      </c>
      <c r="F12" s="2">
        <v>594</v>
      </c>
      <c r="G12" s="2">
        <v>297</v>
      </c>
      <c r="O12" s="1">
        <v>17</v>
      </c>
      <c r="P12" s="4">
        <f t="shared" si="0"/>
        <v>1576</v>
      </c>
      <c r="Q12" s="1">
        <f t="shared" si="1"/>
        <v>26792</v>
      </c>
    </row>
    <row r="13" spans="1:17" x14ac:dyDescent="0.25">
      <c r="A13" t="s">
        <v>25</v>
      </c>
      <c r="C13" s="2">
        <v>31</v>
      </c>
      <c r="D13" s="2">
        <v>244</v>
      </c>
      <c r="E13" s="2">
        <v>262</v>
      </c>
      <c r="O13" s="1">
        <v>17</v>
      </c>
      <c r="P13" s="4">
        <f t="shared" si="0"/>
        <v>537</v>
      </c>
      <c r="Q13" s="1">
        <f t="shared" si="1"/>
        <v>9129</v>
      </c>
    </row>
    <row r="14" spans="1:17" x14ac:dyDescent="0.25">
      <c r="A14" t="s">
        <v>26</v>
      </c>
      <c r="B14" s="2">
        <v>288</v>
      </c>
      <c r="C14" s="2">
        <v>197</v>
      </c>
      <c r="D14" s="2">
        <v>51</v>
      </c>
      <c r="E14" s="2">
        <v>130</v>
      </c>
      <c r="F14" s="2">
        <v>437</v>
      </c>
      <c r="G14" s="2">
        <v>490</v>
      </c>
      <c r="H14" s="2">
        <v>370</v>
      </c>
      <c r="J14" s="2">
        <v>573</v>
      </c>
      <c r="K14" s="2">
        <v>538</v>
      </c>
      <c r="O14" s="1">
        <v>17</v>
      </c>
      <c r="P14" s="4">
        <f t="shared" si="0"/>
        <v>3074</v>
      </c>
      <c r="Q14" s="1">
        <f t="shared" si="1"/>
        <v>52258</v>
      </c>
    </row>
    <row r="15" spans="1:17" x14ac:dyDescent="0.25">
      <c r="A15" t="s">
        <v>27</v>
      </c>
      <c r="D15" s="2">
        <v>52</v>
      </c>
      <c r="O15" s="1">
        <v>17</v>
      </c>
      <c r="P15" s="4">
        <f t="shared" si="0"/>
        <v>52</v>
      </c>
      <c r="Q15" s="1">
        <f t="shared" si="1"/>
        <v>884</v>
      </c>
    </row>
    <row r="16" spans="1:17" x14ac:dyDescent="0.25">
      <c r="A16" t="s">
        <v>28</v>
      </c>
      <c r="C16" s="2">
        <v>117</v>
      </c>
      <c r="O16" s="1">
        <v>17</v>
      </c>
      <c r="P16" s="4">
        <f t="shared" si="0"/>
        <v>117</v>
      </c>
      <c r="Q16" s="1">
        <f t="shared" si="1"/>
        <v>1989</v>
      </c>
    </row>
    <row r="17" spans="1:17" x14ac:dyDescent="0.25">
      <c r="A17" t="s">
        <v>29</v>
      </c>
      <c r="C17" s="2">
        <v>81</v>
      </c>
      <c r="D17" s="2">
        <v>307</v>
      </c>
      <c r="E17" s="2">
        <v>457</v>
      </c>
      <c r="F17" s="2">
        <v>20</v>
      </c>
      <c r="O17" s="1">
        <v>17</v>
      </c>
      <c r="P17" s="4">
        <f t="shared" si="0"/>
        <v>865</v>
      </c>
      <c r="Q17" s="1">
        <f t="shared" si="1"/>
        <v>14705</v>
      </c>
    </row>
    <row r="18" spans="1:17" x14ac:dyDescent="0.25">
      <c r="A18" t="s">
        <v>30</v>
      </c>
      <c r="H18" s="2">
        <v>369</v>
      </c>
      <c r="I18" s="2">
        <v>80</v>
      </c>
      <c r="J18" s="2">
        <v>269</v>
      </c>
      <c r="K18" s="2">
        <v>137</v>
      </c>
      <c r="O18" s="1">
        <v>17</v>
      </c>
      <c r="P18" s="4">
        <f t="shared" si="0"/>
        <v>855</v>
      </c>
      <c r="Q18" s="1">
        <f t="shared" si="1"/>
        <v>14535</v>
      </c>
    </row>
    <row r="19" spans="1:17" x14ac:dyDescent="0.25">
      <c r="A19" t="s">
        <v>31</v>
      </c>
      <c r="G19" s="2">
        <v>36</v>
      </c>
      <c r="H19" s="2">
        <v>354</v>
      </c>
      <c r="I19" s="2">
        <v>237</v>
      </c>
      <c r="J19" s="2">
        <v>697</v>
      </c>
      <c r="K19" s="2">
        <v>158</v>
      </c>
      <c r="O19" s="1">
        <v>17</v>
      </c>
      <c r="P19" s="4">
        <f t="shared" si="0"/>
        <v>1482</v>
      </c>
      <c r="Q19" s="1">
        <f t="shared" si="1"/>
        <v>25194</v>
      </c>
    </row>
    <row r="20" spans="1:17" x14ac:dyDescent="0.25">
      <c r="A20" t="s">
        <v>32</v>
      </c>
      <c r="F20" s="2">
        <v>94</v>
      </c>
      <c r="G20" s="2">
        <v>150</v>
      </c>
      <c r="H20" s="2">
        <v>60</v>
      </c>
      <c r="O20" s="1">
        <v>17</v>
      </c>
      <c r="P20" s="4">
        <f t="shared" si="0"/>
        <v>304</v>
      </c>
      <c r="Q20" s="1">
        <f t="shared" si="1"/>
        <v>5168</v>
      </c>
    </row>
    <row r="21" spans="1:17" x14ac:dyDescent="0.25">
      <c r="A21" t="s">
        <v>33</v>
      </c>
      <c r="G21" s="2">
        <v>133</v>
      </c>
      <c r="H21" s="2">
        <v>88</v>
      </c>
      <c r="K21" s="2">
        <v>314</v>
      </c>
      <c r="O21" s="1">
        <v>17</v>
      </c>
      <c r="P21" s="4">
        <f t="shared" si="0"/>
        <v>535</v>
      </c>
      <c r="Q21" s="1">
        <f t="shared" si="1"/>
        <v>9095</v>
      </c>
    </row>
    <row r="22" spans="1:17" x14ac:dyDescent="0.25">
      <c r="A22" t="s">
        <v>34</v>
      </c>
      <c r="H22" s="2">
        <v>63</v>
      </c>
      <c r="I22" s="2">
        <v>350</v>
      </c>
      <c r="K22" s="2">
        <v>3</v>
      </c>
      <c r="O22" s="1">
        <v>17</v>
      </c>
      <c r="P22" s="4">
        <f t="shared" si="0"/>
        <v>416</v>
      </c>
      <c r="Q22" s="1">
        <f t="shared" si="1"/>
        <v>7072</v>
      </c>
    </row>
    <row r="23" spans="1:17" x14ac:dyDescent="0.25">
      <c r="A23" t="s">
        <v>35</v>
      </c>
      <c r="J23" s="2">
        <v>202</v>
      </c>
      <c r="K23" s="2">
        <v>350</v>
      </c>
      <c r="O23" s="1">
        <v>17</v>
      </c>
      <c r="P23" s="4">
        <f t="shared" si="0"/>
        <v>552</v>
      </c>
      <c r="Q23" s="1">
        <f t="shared" si="1"/>
        <v>9384</v>
      </c>
    </row>
    <row r="24" spans="1:17" ht="32.25" customHeight="1" x14ac:dyDescent="0.25">
      <c r="A24" s="3" t="s">
        <v>36</v>
      </c>
      <c r="I24" s="2">
        <v>28</v>
      </c>
      <c r="J24" s="2">
        <v>677</v>
      </c>
      <c r="K24" s="2">
        <v>24</v>
      </c>
      <c r="O24" s="1">
        <v>17</v>
      </c>
      <c r="P24" s="4">
        <f t="shared" si="0"/>
        <v>729</v>
      </c>
      <c r="Q24" s="1">
        <f t="shared" si="1"/>
        <v>12393</v>
      </c>
    </row>
    <row r="25" spans="1:17" x14ac:dyDescent="0.25">
      <c r="A25" t="s">
        <v>37</v>
      </c>
      <c r="B25" s="2">
        <v>24</v>
      </c>
      <c r="O25" s="1">
        <v>17</v>
      </c>
      <c r="P25" s="4">
        <f t="shared" si="0"/>
        <v>24</v>
      </c>
      <c r="Q25" s="1">
        <f t="shared" si="1"/>
        <v>408</v>
      </c>
    </row>
    <row r="26" spans="1:17" x14ac:dyDescent="0.25">
      <c r="A26" t="s">
        <v>38</v>
      </c>
      <c r="J26" s="2">
        <v>18</v>
      </c>
      <c r="O26" s="1">
        <v>17</v>
      </c>
      <c r="P26" s="4">
        <f t="shared" si="0"/>
        <v>18</v>
      </c>
      <c r="Q26" s="1">
        <f t="shared" si="1"/>
        <v>306</v>
      </c>
    </row>
    <row r="27" spans="1:17" x14ac:dyDescent="0.25">
      <c r="A27" t="s">
        <v>39</v>
      </c>
      <c r="O27" s="1"/>
      <c r="P27" s="4">
        <f t="shared" si="0"/>
        <v>0</v>
      </c>
      <c r="Q27" s="1">
        <v>8976</v>
      </c>
    </row>
    <row r="28" spans="1:17" x14ac:dyDescent="0.25">
      <c r="A28" t="s">
        <v>40</v>
      </c>
      <c r="O28" s="1"/>
      <c r="P28" s="4">
        <f t="shared" si="0"/>
        <v>0</v>
      </c>
      <c r="Q28" s="1">
        <v>16201</v>
      </c>
    </row>
    <row r="29" spans="1:17" x14ac:dyDescent="0.25">
      <c r="A29" t="s">
        <v>41</v>
      </c>
      <c r="J29" s="2">
        <v>18</v>
      </c>
      <c r="O29" s="1">
        <v>17</v>
      </c>
      <c r="P29" s="4">
        <f t="shared" si="0"/>
        <v>18</v>
      </c>
      <c r="Q29" s="1">
        <f t="shared" ref="Q29:Q30" si="2">O29*P29</f>
        <v>306</v>
      </c>
    </row>
    <row r="30" spans="1:17" ht="28.5" customHeight="1" x14ac:dyDescent="0.25">
      <c r="A30" s="3" t="s">
        <v>42</v>
      </c>
      <c r="J30" s="2">
        <v>38</v>
      </c>
      <c r="O30" s="1">
        <v>17</v>
      </c>
      <c r="P30" s="4">
        <f t="shared" si="0"/>
        <v>38</v>
      </c>
      <c r="Q30" s="1">
        <f t="shared" si="2"/>
        <v>646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Mano de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José</cp:lastModifiedBy>
  <dcterms:created xsi:type="dcterms:W3CDTF">2026-09-14T10:56:45Z</dcterms:created>
  <dcterms:modified xsi:type="dcterms:W3CDTF">2026-10-21T08:21:53Z</dcterms:modified>
</cp:coreProperties>
</file>