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6325" yWindow="945" windowWidth="22470" windowHeight="14190" tabRatio="600" firstSheet="0" activeTab="0" autoFilterDateGrouping="1"/>
  </bookViews>
  <sheets>
    <sheet xmlns:r="http://schemas.openxmlformats.org/officeDocument/2006/relationships" name="Mano de Obra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#,##0.00\ &quot;€&quot;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8"/>
  <sheetViews>
    <sheetView tabSelected="1" workbookViewId="0">
      <selection activeCell="P4" sqref="P4:P28"/>
    </sheetView>
  </sheetViews>
  <sheetFormatPr baseColWidth="10" defaultColWidth="9.140625" defaultRowHeight="15"/>
  <cols>
    <col width="44.85546875" customWidth="1" min="1" max="1"/>
    <col width="9.140625" customWidth="1" style="2" min="2" max="9"/>
    <col width="11.85546875" customWidth="1" style="2" min="10" max="10"/>
    <col width="9.140625" customWidth="1" style="2" min="11" max="11"/>
    <col width="11.85546875" customWidth="1" style="2" min="12" max="12"/>
    <col width="11" customWidth="1" style="2" min="13" max="13"/>
    <col width="13.5703125" customWidth="1" min="15" max="15"/>
    <col width="16" customWidth="1" min="16" max="16"/>
    <col width="23" customWidth="1" min="17" max="17"/>
  </cols>
  <sheetData>
    <row r="1">
      <c r="A1" t="inlineStr">
        <is>
          <t>MANO DE OBRA AÑO 2026</t>
        </is>
      </c>
      <c r="O1" t="inlineStr">
        <is>
          <t>PRECIO/HORA</t>
        </is>
      </c>
    </row>
    <row r="2">
      <c r="B2" s="2" t="inlineStr">
        <is>
          <t>ENERO</t>
        </is>
      </c>
      <c r="C2" s="2" t="inlineStr">
        <is>
          <t>FEBRERO</t>
        </is>
      </c>
      <c r="D2" s="2" t="inlineStr">
        <is>
          <t>MARZO</t>
        </is>
      </c>
      <c r="E2" s="2" t="inlineStr">
        <is>
          <t>ABRIL</t>
        </is>
      </c>
      <c r="F2" s="2" t="inlineStr">
        <is>
          <t>MAYO</t>
        </is>
      </c>
      <c r="G2" s="2" t="inlineStr">
        <is>
          <t>JUNIO</t>
        </is>
      </c>
      <c r="H2" s="2" t="inlineStr">
        <is>
          <t>JULIO</t>
        </is>
      </c>
      <c r="I2" s="2" t="inlineStr">
        <is>
          <t>AGOSTO</t>
        </is>
      </c>
      <c r="J2" s="2" t="inlineStr">
        <is>
          <t>SEPTIEMBRE</t>
        </is>
      </c>
      <c r="K2" s="2" t="inlineStr">
        <is>
          <t>OCTUBRE</t>
        </is>
      </c>
      <c r="L2" s="2" t="inlineStr">
        <is>
          <t>NOVIEMBRE</t>
        </is>
      </c>
      <c r="M2" s="2" t="inlineStr">
        <is>
          <t>DICIEMBRE</t>
        </is>
      </c>
      <c r="P2" t="inlineStr">
        <is>
          <t>SUMA HORAS DEL AÑO</t>
        </is>
      </c>
      <c r="Q2" t="inlineStr">
        <is>
          <t>GASTO TOTAL DEL AÑO</t>
        </is>
      </c>
    </row>
    <row r="4">
      <c r="A4" t="inlineStr">
        <is>
          <t>26002 - GARAJE MURCIA</t>
        </is>
      </c>
      <c r="B4" s="2" t="n">
        <v>96</v>
      </c>
      <c r="D4" s="2" t="n">
        <v>4</v>
      </c>
      <c r="O4" s="1" t="n">
        <v>20</v>
      </c>
      <c r="P4" s="1">
        <f>SUM(B4:M4)</f>
        <v/>
      </c>
      <c r="Q4" s="1">
        <f>O4*P4</f>
        <v/>
      </c>
    </row>
    <row r="5">
      <c r="A5" t="inlineStr">
        <is>
          <t>26001 - SANTA ROSA</t>
        </is>
      </c>
      <c r="B5" s="2" t="n">
        <v>36</v>
      </c>
      <c r="C5" s="2" t="n">
        <v>357</v>
      </c>
      <c r="D5" s="2" t="n">
        <v>40</v>
      </c>
      <c r="E5" s="2" t="n">
        <v>4</v>
      </c>
      <c r="O5" s="1" t="n">
        <v>20</v>
      </c>
      <c r="P5" s="1">
        <f>SUM(B5:M5)</f>
        <v/>
      </c>
      <c r="Q5" s="1">
        <f>O5*P5</f>
        <v/>
      </c>
    </row>
    <row r="6">
      <c r="A6" t="inlineStr">
        <is>
          <t>24017 - CEMENTERIO, MURCIA</t>
        </is>
      </c>
      <c r="B6" s="2" t="n">
        <v>140</v>
      </c>
      <c r="C6" s="2" t="n">
        <v>191</v>
      </c>
      <c r="D6" s="2" t="n">
        <v>27</v>
      </c>
      <c r="E6" s="2" t="n">
        <v>8</v>
      </c>
      <c r="G6" s="2" t="n">
        <v>58</v>
      </c>
      <c r="H6" s="2" t="n">
        <v>16</v>
      </c>
      <c r="O6" s="1" t="n">
        <v>20</v>
      </c>
      <c r="P6" s="1">
        <f>SUM(B6:M6)</f>
        <v/>
      </c>
      <c r="Q6" s="1">
        <f>O6*P6</f>
        <v/>
      </c>
    </row>
    <row r="7">
      <c r="A7" t="inlineStr">
        <is>
          <t>24002 - FORMENTERA 14, JUANMA</t>
        </is>
      </c>
      <c r="B7" s="2" t="n">
        <v>393</v>
      </c>
      <c r="C7" s="2" t="n">
        <v>120</v>
      </c>
      <c r="D7" s="2" t="n">
        <v>114</v>
      </c>
      <c r="F7" s="2" t="n">
        <v>16</v>
      </c>
      <c r="O7" s="1" t="n">
        <v>20</v>
      </c>
      <c r="P7" s="1">
        <f>SUM(B7:M7)</f>
        <v/>
      </c>
      <c r="Q7" s="1">
        <f>O7*P7</f>
        <v/>
      </c>
    </row>
    <row r="8">
      <c r="A8" t="inlineStr">
        <is>
          <t>24009 - FORMENTERA 12, JOAQUIN</t>
        </is>
      </c>
      <c r="B8" s="2" t="n">
        <v>22</v>
      </c>
      <c r="C8" s="2" t="n">
        <v>71</v>
      </c>
      <c r="D8" s="2" t="n">
        <v>260</v>
      </c>
      <c r="E8" s="2" t="n">
        <v>629</v>
      </c>
      <c r="F8" s="2" t="n">
        <v>594</v>
      </c>
      <c r="G8" s="2" t="n">
        <v>1120</v>
      </c>
      <c r="H8" s="2" t="n">
        <v>1063</v>
      </c>
      <c r="I8" s="2" t="n">
        <v>284</v>
      </c>
      <c r="J8" s="2" t="n">
        <v>40</v>
      </c>
      <c r="O8" s="1" t="n">
        <v>20</v>
      </c>
      <c r="P8" s="1">
        <f>SUM(B8:M8)</f>
        <v/>
      </c>
      <c r="Q8" s="1">
        <f>O8*P8</f>
        <v/>
      </c>
    </row>
    <row r="9">
      <c r="A9" t="inlineStr">
        <is>
          <t>24015 - LA PARTE DIFICIL, ALICANTE</t>
        </is>
      </c>
      <c r="B9" s="2" t="n">
        <v>504</v>
      </c>
      <c r="C9" s="2" t="n">
        <v>187</v>
      </c>
      <c r="D9" s="2" t="n">
        <v>20</v>
      </c>
      <c r="F9" s="2" t="n">
        <v>39</v>
      </c>
      <c r="O9" s="1" t="n">
        <v>20</v>
      </c>
      <c r="P9" s="1">
        <f>SUM(B9:M9)</f>
        <v/>
      </c>
      <c r="Q9" s="1">
        <f>O9*P9</f>
        <v/>
      </c>
    </row>
    <row r="10">
      <c r="A10" t="inlineStr">
        <is>
          <t>24014 - LA PARTE DIFICIL, MURCIA</t>
        </is>
      </c>
      <c r="B10" s="2" t="n">
        <v>41</v>
      </c>
      <c r="C10" s="2" t="n">
        <v>10</v>
      </c>
      <c r="O10" s="1" t="n">
        <v>20</v>
      </c>
      <c r="P10" s="1">
        <f>SUM(B10:M10)</f>
        <v/>
      </c>
      <c r="Q10" s="1">
        <f>O10*P10</f>
        <v/>
      </c>
    </row>
    <row r="11">
      <c r="A11" t="inlineStr">
        <is>
          <t>26005 - A-13</t>
        </is>
      </c>
      <c r="C11" s="2" t="n">
        <v>162</v>
      </c>
      <c r="D11" s="2" t="n">
        <v>297</v>
      </c>
      <c r="F11" s="2" t="n">
        <v>133</v>
      </c>
      <c r="O11" s="1" t="n">
        <v>20</v>
      </c>
      <c r="P11" s="1">
        <f>SUM(B11:M11)</f>
        <v/>
      </c>
      <c r="Q11" s="1">
        <f>O11*P11</f>
        <v/>
      </c>
    </row>
    <row r="12">
      <c r="A12" t="inlineStr">
        <is>
          <t>24010 - LA ALBERCA</t>
        </is>
      </c>
      <c r="B12" s="2" t="n">
        <v>103</v>
      </c>
      <c r="C12" s="2" t="n">
        <v>36</v>
      </c>
      <c r="D12" s="2" t="n">
        <v>93</v>
      </c>
      <c r="E12" s="2" t="n">
        <v>453</v>
      </c>
      <c r="F12" s="2" t="n">
        <v>594</v>
      </c>
      <c r="G12" s="2" t="n">
        <v>297</v>
      </c>
      <c r="O12" s="1" t="n">
        <v>20</v>
      </c>
      <c r="P12" s="1">
        <f>SUM(B12:M12)</f>
        <v/>
      </c>
      <c r="Q12" s="1">
        <f>O12*P12</f>
        <v/>
      </c>
    </row>
    <row r="13">
      <c r="A13" t="inlineStr">
        <is>
          <t>26003 - BARINAS</t>
        </is>
      </c>
      <c r="C13" s="2" t="n">
        <v>31</v>
      </c>
      <c r="D13" s="2" t="n">
        <v>244</v>
      </c>
      <c r="E13" s="2" t="n">
        <v>262</v>
      </c>
      <c r="O13" s="1" t="n">
        <v>20</v>
      </c>
      <c r="P13" s="1">
        <f>SUM(B13:M13)</f>
        <v/>
      </c>
      <c r="Q13" s="1">
        <f>O13*P13</f>
        <v/>
      </c>
    </row>
    <row r="14">
      <c r="A14" t="inlineStr">
        <is>
          <t>24016 - PLAZA CIRCULAR</t>
        </is>
      </c>
      <c r="B14" s="2" t="n">
        <v>288</v>
      </c>
      <c r="C14" s="2" t="n">
        <v>197</v>
      </c>
      <c r="D14" s="2" t="n">
        <v>51</v>
      </c>
      <c r="E14" s="2" t="n">
        <v>130</v>
      </c>
      <c r="F14" s="2" t="n">
        <v>437</v>
      </c>
      <c r="G14" s="2" t="n">
        <v>490</v>
      </c>
      <c r="H14" s="2" t="n">
        <v>370</v>
      </c>
      <c r="J14" s="2" t="n">
        <v>293</v>
      </c>
      <c r="O14" s="1" t="n">
        <v>20</v>
      </c>
      <c r="P14" s="1">
        <f>SUM(B14:M14)</f>
        <v/>
      </c>
      <c r="Q14" s="1">
        <f>O14*P14</f>
        <v/>
      </c>
    </row>
    <row r="15">
      <c r="A15" t="inlineStr">
        <is>
          <t>26006 - OBRA PADRE TRINI</t>
        </is>
      </c>
      <c r="D15" s="2" t="n">
        <v>52</v>
      </c>
      <c r="O15" s="1" t="n">
        <v>20</v>
      </c>
      <c r="P15" s="1">
        <f>SUM(B15:M15)</f>
        <v/>
      </c>
      <c r="Q15" s="1">
        <f>O15*P15</f>
        <v/>
      </c>
    </row>
    <row r="16">
      <c r="A16" t="inlineStr">
        <is>
          <t>26004 - OBRA PISO IBI</t>
        </is>
      </c>
      <c r="C16" s="2" t="n">
        <v>117</v>
      </c>
      <c r="O16" s="1" t="n">
        <v>20</v>
      </c>
      <c r="P16" s="1">
        <f>SUM(B16:M16)</f>
        <v/>
      </c>
      <c r="Q16" s="1">
        <f>O16*P16</f>
        <v/>
      </c>
    </row>
    <row r="17">
      <c r="A17" t="inlineStr">
        <is>
          <t>24018 - OBRA LUC2</t>
        </is>
      </c>
      <c r="C17" s="2" t="n">
        <v>81</v>
      </c>
      <c r="D17" s="2" t="n">
        <v>307</v>
      </c>
      <c r="E17" s="2" t="n">
        <v>457</v>
      </c>
      <c r="F17" s="2" t="n">
        <v>20</v>
      </c>
      <c r="O17" s="1" t="n">
        <v>20</v>
      </c>
      <c r="P17" s="1">
        <f>SUM(B17:M17)</f>
        <v/>
      </c>
      <c r="Q17" s="1">
        <f>O17*P17</f>
        <v/>
      </c>
    </row>
    <row r="18">
      <c r="A18" t="inlineStr">
        <is>
          <t>26011 - CASTILLO DE ELDA</t>
        </is>
      </c>
      <c r="H18" s="2" t="n">
        <v>369</v>
      </c>
      <c r="I18" s="2" t="n">
        <v>80</v>
      </c>
      <c r="J18" s="2" t="n">
        <v>62</v>
      </c>
      <c r="O18" s="1" t="n">
        <v>20</v>
      </c>
      <c r="P18" s="1">
        <f>SUM(B18:M18)</f>
        <v/>
      </c>
      <c r="Q18" s="1">
        <f>O18*P18</f>
        <v/>
      </c>
    </row>
    <row r="19">
      <c r="A19" t="inlineStr">
        <is>
          <t>26009 - OBRA CALLE CARTAGENA, MURCIA</t>
        </is>
      </c>
      <c r="G19" s="2" t="n">
        <v>36</v>
      </c>
      <c r="H19" s="2" t="n">
        <v>354</v>
      </c>
      <c r="I19" s="2" t="n">
        <v>237</v>
      </c>
      <c r="J19" s="2" t="n">
        <v>389</v>
      </c>
      <c r="O19" s="1" t="n">
        <v>20</v>
      </c>
      <c r="P19" s="1">
        <f>SUM(B19:M19)</f>
        <v/>
      </c>
      <c r="Q19" s="1">
        <f>O19*P19</f>
        <v/>
      </c>
    </row>
    <row r="20">
      <c r="A20" t="inlineStr">
        <is>
          <t>26012 - CBS</t>
        </is>
      </c>
      <c r="F20" s="2" t="n">
        <v>94</v>
      </c>
      <c r="G20" s="2" t="n">
        <v>150</v>
      </c>
      <c r="H20" s="2" t="n">
        <v>60</v>
      </c>
      <c r="O20" s="1" t="n">
        <v>20</v>
      </c>
      <c r="P20" s="1">
        <f>SUM(B20:M20)</f>
        <v/>
      </c>
      <c r="Q20" s="1">
        <f>O20*P20</f>
        <v/>
      </c>
    </row>
    <row r="21">
      <c r="A21" t="inlineStr">
        <is>
          <t>26020 - OBRA CARLA, PINOSO</t>
        </is>
      </c>
      <c r="G21" s="2" t="n">
        <v>133</v>
      </c>
      <c r="H21" s="2" t="n">
        <v>88</v>
      </c>
      <c r="O21" s="1" t="n">
        <v>20</v>
      </c>
      <c r="P21" s="1">
        <f>SUM(B21:M21)</f>
        <v/>
      </c>
      <c r="Q21" s="1">
        <f>O21*P21</f>
        <v/>
      </c>
    </row>
    <row r="22">
      <c r="A22" t="inlineStr">
        <is>
          <t>26017 - OBRA MADRE MARIA PEREAMAR</t>
        </is>
      </c>
      <c r="H22" s="2" t="n">
        <v>63</v>
      </c>
      <c r="I22" s="2" t="n">
        <v>350</v>
      </c>
      <c r="O22" s="1" t="n">
        <v>20</v>
      </c>
      <c r="P22" s="1">
        <f>SUM(B22:M22)</f>
        <v/>
      </c>
      <c r="Q22" s="1">
        <f>O22*P22</f>
        <v/>
      </c>
    </row>
    <row r="23">
      <c r="A23" t="inlineStr">
        <is>
          <t>26007 - OBRA HELENA Y JACOBO</t>
        </is>
      </c>
      <c r="J23" s="2" t="n">
        <v>75</v>
      </c>
      <c r="O23" s="1" t="n">
        <v>20</v>
      </c>
      <c r="P23" s="1">
        <f>SUM(B23:M23)</f>
        <v/>
      </c>
      <c r="Q23" s="1">
        <f>O23*P23</f>
        <v/>
      </c>
    </row>
    <row r="24">
      <c r="A24" t="inlineStr">
        <is>
          <t>26008 - OBRA ALBERTO Y EVA(SAN VICENTE)</t>
        </is>
      </c>
      <c r="I24" s="2" t="n">
        <v>28</v>
      </c>
      <c r="J24" s="2" t="n">
        <v>325</v>
      </c>
      <c r="O24" s="1" t="n">
        <v>20</v>
      </c>
      <c r="P24" s="1">
        <f>SUM(B24:M24)</f>
        <v/>
      </c>
      <c r="Q24" s="1">
        <f>O24*P24</f>
        <v/>
      </c>
    </row>
    <row r="25">
      <c r="A25" t="inlineStr">
        <is>
          <t>24008 - OBRA C/HUERTO CAPUCHINOS, MURCIA</t>
        </is>
      </c>
      <c r="B25" s="2" t="n">
        <v>24</v>
      </c>
      <c r="O25" s="1" t="n">
        <v>20</v>
      </c>
      <c r="P25" s="1">
        <f>SUM(B25:M25)</f>
        <v/>
      </c>
      <c r="Q25" s="1">
        <f>O25*P25</f>
        <v/>
      </c>
    </row>
    <row r="26">
      <c r="A26" t="inlineStr">
        <is>
          <t>26021 - OBRA CRISTINA RESTAURANTE, ALICANTE</t>
        </is>
      </c>
      <c r="J26" s="2" t="n">
        <v>18</v>
      </c>
      <c r="O26" s="1" t="n">
        <v>20</v>
      </c>
      <c r="P26" s="1">
        <f>SUM(B26:M26)</f>
        <v/>
      </c>
      <c r="Q26" s="1">
        <f>O26*P26</f>
        <v/>
      </c>
    </row>
    <row r="27">
      <c r="A27" t="inlineStr">
        <is>
          <t>2100 - MURO VECINO</t>
        </is>
      </c>
      <c r="O27" s="1" t="n"/>
      <c r="P27" s="1" t="n"/>
      <c r="Q27" s="1" t="n">
        <v>10550.72</v>
      </c>
    </row>
    <row r="28">
      <c r="A28" t="inlineStr">
        <is>
          <t>2600 - OBRA CAMPO</t>
        </is>
      </c>
      <c r="O28" s="1" t="n"/>
      <c r="P28" s="1" t="n"/>
      <c r="Q28" s="1" t="n">
        <v>19055.33</v>
      </c>
    </row>
  </sheetData>
  <pageMargins left="0.75" right="0.75" top="1" bottom="1" header="0.5" footer="0.5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2026-09-14T10:56:45Z</dcterms:created>
  <dcterms:modified xmlns:dcterms="http://purl.org/dc/terms/" xmlns:xsi="http://www.w3.org/2001/XMLSchema-instance" xsi:type="dcterms:W3CDTF">2026-09-14T11:29:12Z</dcterms:modified>
  <cp:lastModifiedBy>Juan José</cp:lastModifiedBy>
</cp:coreProperties>
</file>