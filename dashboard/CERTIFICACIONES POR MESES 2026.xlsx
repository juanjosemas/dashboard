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jmax\Downloads\1\dashboard\"/>
    </mc:Choice>
  </mc:AlternateContent>
  <xr:revisionPtr revIDLastSave="0" documentId="13_ncr:1_{0B0A1ABC-C2CE-4786-9FC3-CB52D6E6C680}" xr6:coauthVersionLast="47" xr6:coauthVersionMax="47" xr10:uidLastSave="{00000000-0000-0000-0000-000000000000}"/>
  <bookViews>
    <workbookView xWindow="-26085" yWindow="840" windowWidth="25980" windowHeight="14190" xr2:uid="{00000000-000D-0000-FFFF-FFFF00000000}"/>
  </bookViews>
  <sheets>
    <sheet name="Cert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" l="1"/>
  <c r="N25" i="1"/>
  <c r="N4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<sst xmlns="http://schemas.openxmlformats.org/spreadsheetml/2006/main" count="37" uniqueCount="37">
  <si>
    <t>CERTIFICACIONES AÑO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</si>
  <si>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</si>
  <si>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</si>
  <si>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</si>
  <si>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</si>
  <si>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</si>
  <si>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</si>
  <si>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</si>
  <si>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</si>
  <si>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</si>
  <si>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</si>
  <si>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</si>
  <si>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</si>
  <si>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DEL AÑO</t>
  </si>
  <si>
    <t>26002 - GARAJE MURCIA</t>
  </si>
  <si>
    <t>26001 - SANTA ROSA</t>
  </si>
  <si>
    <t>24017 - CEMENTERIO, MURCIA</t>
  </si>
  <si>
    <t>24002 - FORMENTERA 14, JUANMA</t>
  </si>
  <si>
    <t>24009 - FORMENTERA 12, JOAQUIN</t>
  </si>
  <si>
    <t>24015 - LA PARTE DIFICIL, ALICANTE</t>
  </si>
  <si>
    <t>24014 - LA PARTE DIFICIL, MURCIA</t>
  </si>
  <si>
    <t>26005 - A-13</t>
  </si>
  <si>
    <t>24010 - LA ALBERCA</t>
  </si>
  <si>
    <t>26003 - BARINAS</t>
  </si>
  <si>
    <t>24016 - PLAZA CIRCULAR</t>
  </si>
  <si>
    <t>26006 - OBRA PADRE TRINI</t>
  </si>
  <si>
    <t>26004 - OBRA PISO IBI</t>
  </si>
  <si>
    <t>24018 - OBRA LUC2</t>
  </si>
  <si>
    <t>26011 - CASTILLO DE ELDA</t>
  </si>
  <si>
    <t>26009 - OBRA CALLE CARTAGENA, MURCIA</t>
  </si>
  <si>
    <t>26012 - CBS</t>
  </si>
  <si>
    <t>26020 - OBRA CARLA, PINOSO</t>
  </si>
  <si>
    <t>26017 - OBRA MADRE MARIA PEREAMAR</t>
  </si>
  <si>
    <t>26007 - OBRA HELENA Y JACOBO</t>
  </si>
  <si>
    <t>26008 - OBRA ALBERTO Y EVA - C/ RIO SEGURA, 4. SAN VICENTE DEL RASPEIG</t>
  </si>
  <si>
    <t>26022 - OBRA COLEGIO MONOVAR</t>
  </si>
  <si>
    <t>26013 - ARREGLO PAVIMENTOS COMUNIDAD PROPIETARIOS -CALLE SOROLLA, 13. 03560. EL CAMPELLO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</si>
</sst>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23" sqref="K23"/>
    </sheetView>
  </sheetViews>
  <sheetFormatPr baseColWidth="10" defaultColWidth="9.140625" defaultRowHeight="15" x14ac:dyDescent="0.25"/>
  <cols>
    <col min="1" max="1" width="51.140625" customWidth="1"/>
    <col min="3" max="3" width="11.5703125" bestFit="1" customWidth="1"/>
    <col min="4" max="4" width="12.140625" customWidth="1"/>
    <col min="5" max="5" width="11.85546875" customWidth="1"/>
    <col min="6" max="6" width="13.28515625" customWidth="1"/>
    <col min="7" max="7" width="11.7109375" customWidth="1"/>
    <col min="8" max="8" width="11.5703125" bestFit="1" customWidth="1"/>
    <col min="9" max="9" width="10.5703125" bestFit="1" customWidth="1"/>
    <col min="10" max="10" width="12.85546875" customWidth="1"/>
    <col min="11" max="11" width="10.5703125" bestFit="1" customWidth="1"/>
    <col min="12" max="12" width="11.42578125" customWidth="1"/>
    <col min="13" max="13" width="11.28515625" customWidth="1"/>
    <col min="14" max="14" width="15.85546875" customWidth="1"/>
  </cols>
  <sheetData>
    <row r="1" spans="1:14" x14ac:dyDescent="0.25">
      <c r="A1" t="s">
        <v>0</v>
      </c>
    </row>
    <row r="2" spans="1:14" s="1" customFormat="1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4" spans="1:14" x14ac:dyDescent="0.25">
      <c r="A4" t="s">
        <v>14</v>
      </c>
      <c r="B4" s="2"/>
      <c r="C4" s="2"/>
      <c r="D4" s="2">
        <v>8875.66</v>
      </c>
      <c r="E4" s="2"/>
      <c r="F4" s="2"/>
      <c r="G4" s="2"/>
      <c r="H4" s="2"/>
      <c r="I4" s="2"/>
      <c r="J4" s="2"/>
      <c r="K4" s="2"/>
      <c r="L4" s="2"/>
      <c r="M4" s="2"/>
      <c r="N4" s="2">
        <f t="shared" ref="N4:N26" si="0">SUM(B4:M4)</f>
        <v>8875.66</v>
      </c>
    </row>
    <row r="5" spans="1:14" x14ac:dyDescent="0.25">
      <c r="A5" t="s">
        <v>15</v>
      </c>
      <c r="B5" s="2"/>
      <c r="C5" s="2"/>
      <c r="D5" s="2">
        <v>23408.99</v>
      </c>
      <c r="E5" s="2">
        <v>508.63</v>
      </c>
      <c r="F5" s="2"/>
      <c r="G5" s="2"/>
      <c r="H5" s="2"/>
      <c r="I5" s="2"/>
      <c r="J5" s="2"/>
      <c r="K5" s="2"/>
      <c r="L5" s="2"/>
      <c r="M5" s="2"/>
      <c r="N5" s="2">
        <f t="shared" si="0"/>
        <v>23917.620000000003</v>
      </c>
    </row>
    <row r="6" spans="1:14" x14ac:dyDescent="0.25">
      <c r="A6" t="s">
        <v>16</v>
      </c>
      <c r="B6" s="2"/>
      <c r="C6" s="2">
        <v>39798.620000000003</v>
      </c>
      <c r="D6" s="2">
        <v>3418.32</v>
      </c>
      <c r="E6" s="2"/>
      <c r="F6" s="2">
        <v>3418.31</v>
      </c>
      <c r="G6" s="2"/>
      <c r="H6" s="2"/>
      <c r="I6" s="2"/>
      <c r="J6" s="2"/>
      <c r="K6" s="2"/>
      <c r="L6" s="2"/>
      <c r="M6" s="2"/>
      <c r="N6" s="2">
        <f t="shared" si="0"/>
        <v>46635.25</v>
      </c>
    </row>
    <row r="7" spans="1:14" x14ac:dyDescent="0.25">
      <c r="A7" t="s">
        <v>17</v>
      </c>
      <c r="B7" s="2"/>
      <c r="C7" s="2">
        <v>105543.77</v>
      </c>
      <c r="D7" s="2"/>
      <c r="E7" s="2"/>
      <c r="F7" s="2"/>
      <c r="G7" s="2"/>
      <c r="H7" s="2"/>
      <c r="I7" s="2"/>
      <c r="J7" s="2"/>
      <c r="K7" s="2"/>
      <c r="L7" s="2"/>
      <c r="M7" s="2"/>
      <c r="N7" s="2">
        <f t="shared" si="0"/>
        <v>105543.77</v>
      </c>
    </row>
    <row r="8" spans="1:14" x14ac:dyDescent="0.25">
      <c r="A8" t="s">
        <v>18</v>
      </c>
      <c r="B8" s="2"/>
      <c r="C8" s="2"/>
      <c r="D8" s="2">
        <v>12661.63</v>
      </c>
      <c r="E8" s="2">
        <v>14111.18</v>
      </c>
      <c r="F8" s="2">
        <v>48769.08</v>
      </c>
      <c r="G8" s="2">
        <v>27786.1</v>
      </c>
      <c r="H8" s="2"/>
      <c r="I8" s="2">
        <v>68285.89</v>
      </c>
      <c r="J8" s="2"/>
      <c r="K8" s="2">
        <v>271.32</v>
      </c>
      <c r="L8" s="2"/>
      <c r="M8" s="2"/>
      <c r="N8" s="2">
        <f t="shared" si="0"/>
        <v>171885.2</v>
      </c>
    </row>
    <row r="9" spans="1:14" x14ac:dyDescent="0.25">
      <c r="A9" t="s">
        <v>19</v>
      </c>
      <c r="B9" s="2"/>
      <c r="C9" s="2">
        <v>48537.58</v>
      </c>
      <c r="D9" s="2"/>
      <c r="E9" s="2"/>
      <c r="F9" s="2"/>
      <c r="G9" s="2">
        <v>14739.76</v>
      </c>
      <c r="H9" s="2"/>
      <c r="I9" s="2"/>
      <c r="J9" s="2"/>
      <c r="K9" s="2"/>
      <c r="L9" s="2"/>
      <c r="M9" s="2"/>
      <c r="N9" s="2">
        <f t="shared" si="0"/>
        <v>63277.340000000004</v>
      </c>
    </row>
    <row r="10" spans="1:14" x14ac:dyDescent="0.25">
      <c r="A10" t="s">
        <v>20</v>
      </c>
      <c r="B10" s="2"/>
      <c r="C10" s="2"/>
      <c r="D10" s="2"/>
      <c r="E10" s="2"/>
      <c r="F10" s="2"/>
      <c r="G10" s="2">
        <v>3288</v>
      </c>
      <c r="H10" s="2"/>
      <c r="I10" s="2"/>
      <c r="J10" s="2"/>
      <c r="K10" s="2"/>
      <c r="L10" s="2"/>
      <c r="M10" s="2"/>
      <c r="N10" s="2">
        <f t="shared" si="0"/>
        <v>3288</v>
      </c>
    </row>
    <row r="11" spans="1:14" x14ac:dyDescent="0.25">
      <c r="A11" t="s">
        <v>21</v>
      </c>
      <c r="B11" s="2"/>
      <c r="C11" s="2">
        <v>6720</v>
      </c>
      <c r="D11" s="2">
        <v>4459.3500000000004</v>
      </c>
      <c r="E11" s="2">
        <v>2161.08</v>
      </c>
      <c r="F11" s="2">
        <v>2901.49</v>
      </c>
      <c r="G11" s="2"/>
      <c r="H11" s="2"/>
      <c r="I11" s="2"/>
      <c r="J11" s="2"/>
      <c r="K11" s="2"/>
      <c r="L11" s="2"/>
      <c r="M11" s="2"/>
      <c r="N11" s="2">
        <f t="shared" si="0"/>
        <v>16241.92</v>
      </c>
    </row>
    <row r="12" spans="1:14" x14ac:dyDescent="0.25">
      <c r="A12" t="s">
        <v>22</v>
      </c>
      <c r="B12" s="2"/>
      <c r="C12" s="2"/>
      <c r="D12" s="2">
        <v>37862.22</v>
      </c>
      <c r="E12" s="2">
        <v>22350.54</v>
      </c>
      <c r="F12" s="2">
        <v>38885.94</v>
      </c>
      <c r="G12" s="2">
        <v>17333.560000000001</v>
      </c>
      <c r="H12" s="2"/>
      <c r="I12" s="2"/>
      <c r="J12" s="2"/>
      <c r="K12" s="2"/>
      <c r="L12" s="2"/>
      <c r="M12" s="2"/>
      <c r="N12" s="2">
        <f t="shared" si="0"/>
        <v>116432.26000000001</v>
      </c>
    </row>
    <row r="13" spans="1:14" x14ac:dyDescent="0.25">
      <c r="A13" t="s">
        <v>23</v>
      </c>
      <c r="B13" s="2"/>
      <c r="C13" s="2"/>
      <c r="D13" s="2">
        <v>26923.54</v>
      </c>
      <c r="E13" s="2">
        <v>16961.5</v>
      </c>
      <c r="F13" s="2">
        <v>1726.4</v>
      </c>
      <c r="G13" s="2"/>
      <c r="H13" s="2"/>
      <c r="I13" s="2"/>
      <c r="J13" s="2"/>
      <c r="K13" s="2"/>
      <c r="L13" s="2"/>
      <c r="M13" s="2"/>
      <c r="N13" s="2">
        <f t="shared" si="0"/>
        <v>45611.44</v>
      </c>
    </row>
    <row r="14" spans="1:14" x14ac:dyDescent="0.25">
      <c r="A14" t="s">
        <v>24</v>
      </c>
      <c r="B14" s="2"/>
      <c r="C14" s="2">
        <v>30813.41</v>
      </c>
      <c r="D14" s="2">
        <v>14253.36</v>
      </c>
      <c r="E14" s="2">
        <v>61996.81</v>
      </c>
      <c r="F14" s="2">
        <v>21477.74</v>
      </c>
      <c r="G14" s="2">
        <v>43921</v>
      </c>
      <c r="H14" s="2">
        <v>105666.89</v>
      </c>
      <c r="I14" s="2"/>
      <c r="J14" s="2">
        <v>27426.04</v>
      </c>
      <c r="K14" s="2">
        <v>59376.33</v>
      </c>
      <c r="L14" s="2"/>
      <c r="M14" s="2"/>
      <c r="N14" s="2">
        <f t="shared" si="0"/>
        <v>364931.58</v>
      </c>
    </row>
    <row r="15" spans="1:14" x14ac:dyDescent="0.25">
      <c r="A15" t="s">
        <v>25</v>
      </c>
      <c r="B15" s="2"/>
      <c r="C15" s="2"/>
      <c r="D15" s="2"/>
      <c r="E15" s="2"/>
      <c r="F15" s="2"/>
      <c r="G15" s="2">
        <v>1407.99</v>
      </c>
      <c r="H15" s="2"/>
      <c r="I15" s="2"/>
      <c r="J15" s="2"/>
      <c r="K15" s="2"/>
      <c r="L15" s="2"/>
      <c r="M15" s="2"/>
      <c r="N15" s="2">
        <f t="shared" si="0"/>
        <v>1407.99</v>
      </c>
    </row>
    <row r="16" spans="1:14" x14ac:dyDescent="0.25">
      <c r="A16" t="s">
        <v>26</v>
      </c>
      <c r="B16" s="2"/>
      <c r="C16" s="2">
        <v>4320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 t="shared" si="0"/>
        <v>4320</v>
      </c>
    </row>
    <row r="17" spans="1:14" x14ac:dyDescent="0.25">
      <c r="A17" t="s">
        <v>27</v>
      </c>
      <c r="B17" s="2"/>
      <c r="C17" s="2"/>
      <c r="D17" s="2"/>
      <c r="E17" s="2">
        <v>74653.679999999993</v>
      </c>
      <c r="F17" s="2">
        <v>12122.53</v>
      </c>
      <c r="G17" s="2">
        <v>2058.5</v>
      </c>
      <c r="H17" s="2"/>
      <c r="I17" s="2"/>
      <c r="J17" s="2"/>
      <c r="K17" s="2"/>
      <c r="L17" s="2"/>
      <c r="M17" s="2"/>
      <c r="N17" s="2">
        <f t="shared" si="0"/>
        <v>88834.709999999992</v>
      </c>
    </row>
    <row r="18" spans="1:14" x14ac:dyDescent="0.25">
      <c r="A18" t="s">
        <v>28</v>
      </c>
      <c r="B18" s="2"/>
      <c r="C18" s="2"/>
      <c r="D18" s="2"/>
      <c r="E18" s="2"/>
      <c r="F18" s="2"/>
      <c r="G18" s="2"/>
      <c r="H18" s="2">
        <v>10790.99</v>
      </c>
      <c r="I18" s="2">
        <v>974.27</v>
      </c>
      <c r="J18" s="2">
        <v>59827.7</v>
      </c>
      <c r="K18" s="2">
        <v>11074.56</v>
      </c>
      <c r="L18" s="2"/>
      <c r="M18" s="2"/>
      <c r="N18" s="2">
        <f t="shared" si="0"/>
        <v>82667.51999999999</v>
      </c>
    </row>
    <row r="19" spans="1:14" x14ac:dyDescent="0.25">
      <c r="A19" t="s">
        <v>29</v>
      </c>
      <c r="B19" s="2"/>
      <c r="C19" s="2"/>
      <c r="D19" s="2"/>
      <c r="E19" s="2"/>
      <c r="F19" s="2"/>
      <c r="G19" s="2"/>
      <c r="H19" s="2">
        <v>13330.32</v>
      </c>
      <c r="I19" s="2"/>
      <c r="J19" s="2">
        <v>38012.910000000003</v>
      </c>
      <c r="K19" s="2"/>
      <c r="L19" s="2"/>
      <c r="M19" s="2"/>
      <c r="N19" s="2">
        <f t="shared" si="0"/>
        <v>51343.23</v>
      </c>
    </row>
    <row r="20" spans="1:14" x14ac:dyDescent="0.25">
      <c r="A20" t="s">
        <v>30</v>
      </c>
      <c r="B20" s="2"/>
      <c r="C20" s="2"/>
      <c r="D20" s="2"/>
      <c r="E20" s="2"/>
      <c r="F20" s="2">
        <v>1600</v>
      </c>
      <c r="G20" s="2">
        <v>4300</v>
      </c>
      <c r="H20" s="2">
        <v>1700</v>
      </c>
      <c r="I20" s="2"/>
      <c r="J20" s="2"/>
      <c r="K20" s="2"/>
      <c r="L20" s="2"/>
      <c r="M20" s="2"/>
      <c r="N20" s="2">
        <f t="shared" si="0"/>
        <v>7600</v>
      </c>
    </row>
    <row r="21" spans="1:14" x14ac:dyDescent="0.25">
      <c r="A21" t="s">
        <v>31</v>
      </c>
      <c r="B21" s="2"/>
      <c r="C21" s="2"/>
      <c r="D21" s="2"/>
      <c r="E21" s="2"/>
      <c r="F21" s="2"/>
      <c r="G21" s="2"/>
      <c r="H21" s="2"/>
      <c r="I21" s="2"/>
      <c r="J21" s="2">
        <v>15019.02</v>
      </c>
      <c r="K21" s="2">
        <v>9594.02</v>
      </c>
      <c r="L21" s="2"/>
      <c r="M21" s="2"/>
      <c r="N21" s="2">
        <f t="shared" si="0"/>
        <v>24613.040000000001</v>
      </c>
    </row>
    <row r="22" spans="1:14" x14ac:dyDescent="0.25">
      <c r="A22" t="s">
        <v>32</v>
      </c>
      <c r="B22" s="2"/>
      <c r="C22" s="2"/>
      <c r="D22" s="2"/>
      <c r="E22" s="2"/>
      <c r="F22" s="2"/>
      <c r="G22" s="2"/>
      <c r="H22" s="2"/>
      <c r="I22" s="2"/>
      <c r="J22" s="2">
        <v>16100.81</v>
      </c>
      <c r="K22" s="2">
        <v>755.95</v>
      </c>
      <c r="L22" s="2"/>
      <c r="M22" s="2"/>
      <c r="N22" s="2">
        <f t="shared" si="0"/>
        <v>16856.759999999998</v>
      </c>
    </row>
    <row r="23" spans="1:14" x14ac:dyDescent="0.25">
      <c r="A23" t="s">
        <v>33</v>
      </c>
      <c r="B23" s="2"/>
      <c r="C23" s="2"/>
      <c r="D23" s="2"/>
      <c r="E23" s="2"/>
      <c r="F23" s="2"/>
      <c r="G23" s="2"/>
      <c r="H23" s="2">
        <v>41569.410000000003</v>
      </c>
      <c r="I23" s="2"/>
      <c r="J23" s="2">
        <v>19700.57</v>
      </c>
      <c r="K23" s="2">
        <v>31236.84</v>
      </c>
      <c r="L23" s="2"/>
      <c r="M23" s="2"/>
      <c r="N23" s="2">
        <f t="shared" si="0"/>
        <v>92506.82</v>
      </c>
    </row>
    <row r="24" spans="1:14" ht="32.25" customHeight="1" x14ac:dyDescent="0.25">
      <c r="A24" s="3" t="s">
        <v>34</v>
      </c>
      <c r="B24" s="2"/>
      <c r="C24" s="2"/>
      <c r="D24" s="2"/>
      <c r="E24" s="2"/>
      <c r="F24" s="2"/>
      <c r="G24" s="2"/>
      <c r="H24" s="2"/>
      <c r="I24" s="2"/>
      <c r="J24" s="2">
        <v>34049.67</v>
      </c>
      <c r="K24" s="2">
        <v>15243.88</v>
      </c>
      <c r="L24" s="2"/>
      <c r="M24" s="2"/>
      <c r="N24" s="2">
        <f t="shared" si="0"/>
        <v>49293.549999999996</v>
      </c>
    </row>
    <row r="25" spans="1:14" ht="18.75" customHeight="1" x14ac:dyDescent="0.25">
      <c r="A25" t="s">
        <v>35</v>
      </c>
      <c r="J25" s="2">
        <v>1377.3</v>
      </c>
      <c r="N25" s="2">
        <f t="shared" si="0"/>
        <v>1377.3</v>
      </c>
    </row>
    <row r="26" spans="1:14" ht="30.75" customHeight="1" x14ac:dyDescent="0.25">
      <c r="A26" s="3" t="s">
        <v>36</v>
      </c>
      <c r="J26" s="2">
        <v>1200</v>
      </c>
      <c r="N26" s="2">
        <f t="shared" si="0"/>
        <v>1200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José</cp:lastModifiedBy>
  <dcterms:created xsi:type="dcterms:W3CDTF">2026-09-14T10:56:50Z</dcterms:created>
  <dcterms:modified xsi:type="dcterms:W3CDTF">2026-10-23T10:28:36Z</dcterms:modified>
</cp:coreProperties>
</file>